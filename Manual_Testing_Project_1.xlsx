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liraj\Downloads\"/>
    </mc:Choice>
  </mc:AlternateContent>
  <xr:revisionPtr revIDLastSave="0" documentId="13_ncr:1_{BD307DD1-277A-42F6-8AC1-47A9323E6E7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Test Plan" sheetId="1" r:id="rId1"/>
    <sheet name="Test Cases" sheetId="2" r:id="rId2"/>
    <sheet name="Bug Reports" sheetId="3" r:id="rId3"/>
    <sheet name="RTM" sheetId="4" r:id="rId4"/>
    <sheet name="Test Summary" sheetId="5" r:id="rId5"/>
  </sheets>
  <definedNames>
    <definedName name="_xlnm._FilterDatabase" localSheetId="2" hidden="1">'Bug Reports'!$A$1:$K$11</definedName>
    <definedName name="_xlnm._FilterDatabase" localSheetId="1" hidden="1">'Test Cases'!$A$1:$L$111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5" l="1"/>
  <c r="B16" i="5"/>
  <c r="B15" i="5"/>
  <c r="B12" i="5"/>
  <c r="B11" i="5"/>
  <c r="B10" i="5"/>
  <c r="B9" i="5"/>
  <c r="B13" i="5" s="1"/>
</calcChain>
</file>

<file path=xl/sharedStrings.xml><?xml version="1.0" encoding="utf-8"?>
<sst xmlns="http://schemas.openxmlformats.org/spreadsheetml/2006/main" count="1475" uniqueCount="765">
  <si>
    <t>TEST PLAN DOCUMENT</t>
  </si>
  <si>
    <t>Project Name</t>
  </si>
  <si>
    <t>E-Commerce Website Testing – Automation Exercise (automationexercise.com)</t>
  </si>
  <si>
    <t>Prepared By</t>
  </si>
  <si>
    <t>Kaliraj K</t>
  </si>
  <si>
    <t>Date</t>
  </si>
  <si>
    <t>September 2026</t>
  </si>
  <si>
    <t>Version</t>
  </si>
  <si>
    <t>1.0</t>
  </si>
  <si>
    <t>1. Objective</t>
  </si>
  <si>
    <t>To validate the core functionalities of the AutomationExercise e-commerce web application — user registration, login, product browsing, cart, checkout, payment, and contact/subscription features — ensuring the application behaves correctly under valid and invalid conditions before it would be considered ready for release.</t>
  </si>
  <si>
    <t>2. Scope - In Scope</t>
  </si>
  <si>
    <t>User Registration &amp; Login, Product Search &amp; Filter (Category/Brand), Product Detail page, Cart operations, Checkout flow, Payment &amp; Order placement, Contact Us form, Newsletter Subscription, Header/Footer navigation.</t>
  </si>
  <si>
    <t>2. Scope - Out of Scope</t>
  </si>
  <si>
    <t>Performance/Load testing, Security/Penetration testing, Third-party payment gateway internal validation, Mobile app testing, Database-level validation.</t>
  </si>
  <si>
    <t>3. Test Strategy</t>
  </si>
  <si>
    <t>Manual black-box testing using functional test design techniques: Equivalence Partitioning, Boundary Value Analysis, and Decision Table Testing. Both positive (valid input) and negative (invalid input) scenarios are covered for every module.</t>
  </si>
  <si>
    <t>4. Test Environment</t>
  </si>
  <si>
    <t>Application URL: https://www.automationexercise.com | Browsers: Chrome (latest), Firefox (latest) | OS: Windows 11 | Test Data: Self-created dummy accounts and data.</t>
  </si>
  <si>
    <t>5. Entry Criteria</t>
  </si>
  <si>
    <t>Test plan reviewed and approved. Test cases written and reviewed. Application build (live site) is accessible.</t>
  </si>
  <si>
    <t>6. Exit Criteria</t>
  </si>
  <si>
    <t>All planned test cases executed. No open High severity/priority defects remain unresolved or undocumented. Test summary report prepared.</t>
  </si>
  <si>
    <t>7. Deliverables</t>
  </si>
  <si>
    <t>Test Plan, Test Case Sheet, Bug Reports, Requirement Traceability Matrix (RTM), Test Summary Report.</t>
  </si>
  <si>
    <t>8. Roles &amp; Responsibilities</t>
  </si>
  <si>
    <t>Kaliraj K — Test case design, test execution, defect reporting, and test summary reporting (end-to-end, single tester).</t>
  </si>
  <si>
    <t>9. Risks &amp; Assumptions</t>
  </si>
  <si>
    <t>Risk: Live third-party site content/data may change during testing, affecting repeatability. Assumption: Site is accessible throughout the testing window; no environment/browser-specific issues are in scope.</t>
  </si>
  <si>
    <t>10. Schedule</t>
  </si>
  <si>
    <t>Test Design: 3 days | Test Execution: 2 days | Reporting: 1 day.</t>
  </si>
  <si>
    <t>TC 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</si>
  <si>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</si>
  <si>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</si>
  <si>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</si>
  <si>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</si>
  <si>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</si>
  <si>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</si>
  <si>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</si>
  <si>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</si>
  <si>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</si>
  <si>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Technique</t>
  </si>
  <si>
    <t>Executed By</t>
  </si>
  <si>
    <t>TC_001</t>
  </si>
  <si>
    <t>Registration</t>
  </si>
  <si>
    <t>Register with valid new user details</t>
  </si>
  <si>
    <t>User on Home page</t>
  </si>
  <si>
    <t>1. Click Signup/Login 2. Enter Name &amp; Email 3. Click Signup 4. Fill account info form 5. Click Create Account</t>
  </si>
  <si>
    <t>Valid unique name, email, password, address details</t>
  </si>
  <si>
    <t>Account is created successfully; success message displayed</t>
  </si>
  <si>
    <t>Not Executed</t>
  </si>
  <si>
    <t>Low</t>
  </si>
  <si>
    <t>Equivalence Partitioning</t>
  </si>
  <si>
    <t>TC_002</t>
  </si>
  <si>
    <t>Register with already registered email</t>
  </si>
  <si>
    <t>User on Signup page</t>
  </si>
  <si>
    <t>1. Enter existing email &amp; any name 2. Click Signup</t>
  </si>
  <si>
    <t>Email already used by another account</t>
  </si>
  <si>
    <t>Error message 'Email Address already exist!' displayed</t>
  </si>
  <si>
    <t>Medium</t>
  </si>
  <si>
    <t>Negative Testing</t>
  </si>
  <si>
    <t>TC_003</t>
  </si>
  <si>
    <t>Register with empty Name field</t>
  </si>
  <si>
    <t>1. Leave Name blank 2. Enter valid email 3. Click Signup</t>
  </si>
  <si>
    <t>Name = blank</t>
  </si>
  <si>
    <t>Browser/form validation prevents submission; Name marked required</t>
  </si>
  <si>
    <t>Boundary/Negative</t>
  </si>
  <si>
    <t>TC_004</t>
  </si>
  <si>
    <t>Register with empty Email field</t>
  </si>
  <si>
    <t>1. Enter Name 2. Leave Email blank 3. Click Signup</t>
  </si>
  <si>
    <t>Email = blank</t>
  </si>
  <si>
    <t>Form validation prevents submission; Email marked required</t>
  </si>
  <si>
    <t>TC_005</t>
  </si>
  <si>
    <t>Register with invalid email format</t>
  </si>
  <si>
    <t>1. Enter Name 2. Enter 'test@@abc' as email 3. Click Signup</t>
  </si>
  <si>
    <t>Email = test@@abc</t>
  </si>
  <si>
    <t>Validation error for invalid email format shown</t>
  </si>
  <si>
    <t>High</t>
  </si>
  <si>
    <t>TC_006</t>
  </si>
  <si>
    <t>Register with password less than minimum length</t>
  </si>
  <si>
    <t>On Account Info form</t>
  </si>
  <si>
    <t>1. Fill all fields 2. Enter Password = '12' 3. Click Create Account</t>
  </si>
  <si>
    <t>Password = '12' (2 chars)</t>
  </si>
  <si>
    <t>Validation message about minimum password length shown</t>
  </si>
  <si>
    <t>Boundary Value Analysis</t>
  </si>
  <si>
    <t>TC_007</t>
  </si>
  <si>
    <t>Register with all mandatory address fields blank</t>
  </si>
  <si>
    <t>1. Fill Name/Email/Password 2. Leave Address, City, State, Zip, Country, Mobile blank 3. Click Create Account</t>
  </si>
  <si>
    <t>Address fields = blank</t>
  </si>
  <si>
    <t>Required field validation triggers; account not created</t>
  </si>
  <si>
    <t>TC_008</t>
  </si>
  <si>
    <t>Verify newsletter checkbox can be optionally selected</t>
  </si>
  <si>
    <t>1. Fill mandatory fields 2. Check 'Sign up for newsletter' checkbox 3. Submit</t>
  </si>
  <si>
    <t>Checkbox = checked</t>
  </si>
  <si>
    <t>Account created; newsletter opt-in saved</t>
  </si>
  <si>
    <t>Positive Testing</t>
  </si>
  <si>
    <t>TC_009</t>
  </si>
  <si>
    <t>Verify Title (Mr/Mrs) radio button selection</t>
  </si>
  <si>
    <t>1. Select 'Mr' radio 2. Fill rest of form 3. Submit</t>
  </si>
  <si>
    <t>Title = Mr</t>
  </si>
  <si>
    <t>Title saved correctly against account</t>
  </si>
  <si>
    <t>TC_010</t>
  </si>
  <si>
    <t>Register with Date of Birth at boundary (31 Dec)</t>
  </si>
  <si>
    <t>1. Select DOB Day=31 Month=December Year=2000 2. Fill rest 3. Submit</t>
  </si>
  <si>
    <t>DOB = 31-Dec-2000</t>
  </si>
  <si>
    <t>Account created with DOB saved correctly</t>
  </si>
  <si>
    <t>TC_011</t>
  </si>
  <si>
    <t>Register with special characters in Name field</t>
  </si>
  <si>
    <t>On Signup page</t>
  </si>
  <si>
    <t>1. Enter Name = '@@##$$' 2. Enter valid email 3. Click Signup</t>
  </si>
  <si>
    <t>Name = '@@##$$'</t>
  </si>
  <si>
    <t>System either rejects invalid characters or sanitizes input (verify actual behavior)</t>
  </si>
  <si>
    <t>TC_012</t>
  </si>
  <si>
    <t>Register with extremely long Name (255+ chars)</t>
  </si>
  <si>
    <t>1. Enter Name of 300 characters 2. Enter valid email 3. Click Signup</t>
  </si>
  <si>
    <t>Name = 300 char string</t>
  </si>
  <si>
    <t>Field truncates or shows validation error, no crash</t>
  </si>
  <si>
    <t>TC_013</t>
  </si>
  <si>
    <t>Verify mobile number field accepts only numeric input</t>
  </si>
  <si>
    <t>1. Enter Mobile Number = 'abc123xyz' 2. Submit</t>
  </si>
  <si>
    <t>Mobile = 'abc123xyz'</t>
  </si>
  <si>
    <t>Validation error for non-numeric mobile number</t>
  </si>
  <si>
    <t>TC_014</t>
  </si>
  <si>
    <t>Verify State/Country dropdown selection</t>
  </si>
  <si>
    <t>1. Select Country = India 2. Enter State manually 3. Submit</t>
  </si>
  <si>
    <t>Country = India</t>
  </si>
  <si>
    <t>Selected country saved correctly to account</t>
  </si>
  <si>
    <t>TC_015</t>
  </si>
  <si>
    <t>Cancel registration midway and navigate away</t>
  </si>
  <si>
    <t>1. Fill few fields 2. Click browser Back before submitting</t>
  </si>
  <si>
    <t>Partial data entered</t>
  </si>
  <si>
    <t>No account created; data not persisted</t>
  </si>
  <si>
    <t>TC_016</t>
  </si>
  <si>
    <t>Verify 'Account Created' page displays Continue button</t>
  </si>
  <si>
    <t>After successful signup</t>
  </si>
  <si>
    <t>1. Complete registration 2. Observe confirmation page</t>
  </si>
  <si>
    <t>N/A</t>
  </si>
  <si>
    <t>'Account Created!' message and Continue button displayed</t>
  </si>
  <si>
    <t>TC_017</t>
  </si>
  <si>
    <t>Login</t>
  </si>
  <si>
    <t>Login with valid registered credentials</t>
  </si>
  <si>
    <t>User has a registered account</t>
  </si>
  <si>
    <t>1. Go to Login page 2. Enter valid email &amp; password 3. Click Login</t>
  </si>
  <si>
    <t>Valid email + correct password</t>
  </si>
  <si>
    <t>User logged in; username shown in header</t>
  </si>
  <si>
    <t>TC_018</t>
  </si>
  <si>
    <t>Login with invalid password</t>
  </si>
  <si>
    <t>1. Enter valid email 2. Enter wrong password 3. Click Login</t>
  </si>
  <si>
    <t>Valid email + wrong password</t>
  </si>
  <si>
    <t>Error 'Your email or password is incorrect!' displayed</t>
  </si>
  <si>
    <t>TC_019</t>
  </si>
  <si>
    <t>Login with unregistered email</t>
  </si>
  <si>
    <t>User on Login page</t>
  </si>
  <si>
    <t>1. Enter unregistered email 2. Enter any password 3. Click Login</t>
  </si>
  <si>
    <t>Email not in system</t>
  </si>
  <si>
    <t>Error message for incorrect email/password shown</t>
  </si>
  <si>
    <t>TC_020</t>
  </si>
  <si>
    <t>Login with empty email and password</t>
  </si>
  <si>
    <t>1. Leave both fields blank 2. Click Login</t>
  </si>
  <si>
    <t>Both fields blank</t>
  </si>
  <si>
    <t>Required field validation shown; login blocked</t>
  </si>
  <si>
    <t>TC_021</t>
  </si>
  <si>
    <t>Login with valid email, empty password</t>
  </si>
  <si>
    <t>1. Enter valid email 2. Leave password blank 3. Click Login</t>
  </si>
  <si>
    <t>Password = blank</t>
  </si>
  <si>
    <t>Validation error / login blocked</t>
  </si>
  <si>
    <t>TC_022</t>
  </si>
  <si>
    <t>Verify password field masks input</t>
  </si>
  <si>
    <t>1. Type password in password field</t>
  </si>
  <si>
    <t>Any password</t>
  </si>
  <si>
    <t>Characters displayed as dots/asterisks, not plain text</t>
  </si>
  <si>
    <t>TC_023</t>
  </si>
  <si>
    <t>Login with email in different case (UPPER/lower)</t>
  </si>
  <si>
    <t>User has registered with lowercase email</t>
  </si>
  <si>
    <t>1. Enter email in uppercase 2. Enter correct password 3. Click Login</t>
  </si>
  <si>
    <t>TESTUSER@MAIL.COM</t>
  </si>
  <si>
    <t>Verify whether login succeeds (email case-sensitivity check)</t>
  </si>
  <si>
    <t>TC_024</t>
  </si>
  <si>
    <t>Login with SQL injection attempt in email field</t>
  </si>
  <si>
    <t>1. Enter " ' OR '1'='1 " in email 2. Enter any password 3. Click Login</t>
  </si>
  <si>
    <t>Email = ' OR '1'='1</t>
  </si>
  <si>
    <t>Login rejected safely; no unauthorized access or app error</t>
  </si>
  <si>
    <t>Security-Negative Testing</t>
  </si>
  <si>
    <t>TC_025</t>
  </si>
  <si>
    <t>Verify 'Logout' functionality</t>
  </si>
  <si>
    <t>User is logged in</t>
  </si>
  <si>
    <t>1. Click Logout link in header</t>
  </si>
  <si>
    <t>User logged out and redirected to Login page</t>
  </si>
  <si>
    <t>TC_026</t>
  </si>
  <si>
    <t>Verify session after logout (Back button)</t>
  </si>
  <si>
    <t>User has just logged out</t>
  </si>
  <si>
    <t>1. Click browser Back button after logout</t>
  </si>
  <si>
    <t>User is NOT auto-logged back in; login page or guest state shown</t>
  </si>
  <si>
    <t>TC_027</t>
  </si>
  <si>
    <t>Login field accepts max length email boundary</t>
  </si>
  <si>
    <t>1. Enter a very long but valid-format email 2. Enter password 3. Submit</t>
  </si>
  <si>
    <t>Email of 250 characters</t>
  </si>
  <si>
    <t>System handles gracefully without crash</t>
  </si>
  <si>
    <t>TC_028</t>
  </si>
  <si>
    <t>Verify 'Login' and 'Signup' forms shown on same page</t>
  </si>
  <si>
    <t>1. Navigate to Login page 2. Observe layout</t>
  </si>
  <si>
    <t>Both Login and Signup forms visible side-by-side</t>
  </si>
  <si>
    <t>TC_029</t>
  </si>
  <si>
    <t>Multiple failed login attempts</t>
  </si>
  <si>
    <t>1. Attempt login with wrong password 5 times consecutively</t>
  </si>
  <si>
    <t>Wrong password x5</t>
  </si>
  <si>
    <t>Verify whether account lock / captcha appears or same error repeats</t>
  </si>
  <si>
    <t>TC_030</t>
  </si>
  <si>
    <t>Verify navigation link from Login to Signup form</t>
  </si>
  <si>
    <t>1. Enter data partially in Signup form section 2. Click into Login fields</t>
  </si>
  <si>
    <t>Both forms operate independently without data conflict</t>
  </si>
  <si>
    <t>TC_031</t>
  </si>
  <si>
    <t>Product Search</t>
  </si>
  <si>
    <t>Search with valid existing product name</t>
  </si>
  <si>
    <t>User on Products page</t>
  </si>
  <si>
    <t>1. Enter 'Dress' in search box 2. Click Search icon</t>
  </si>
  <si>
    <t>Search text = 'Dress'</t>
  </si>
  <si>
    <t>All products containing 'Dress' are listed</t>
  </si>
  <si>
    <t>TC_032</t>
  </si>
  <si>
    <t>Search with product name in different case</t>
  </si>
  <si>
    <t>1. Enter 'DRESS' (uppercase) 2. Click Search</t>
  </si>
  <si>
    <t>Search text = 'DRESS'</t>
  </si>
  <si>
    <t>Same results returned as lowercase search (case-insensitive)</t>
  </si>
  <si>
    <t>TC_033</t>
  </si>
  <si>
    <t>Search with non-existing product name</t>
  </si>
  <si>
    <t>1. Enter 'xyzxyz123' 2. Click Search</t>
  </si>
  <si>
    <t>Search text = 'xyzxyz123'</t>
  </si>
  <si>
    <t>'No products found' or empty result set shown, no error</t>
  </si>
  <si>
    <t>TC_034</t>
  </si>
  <si>
    <t>Search with empty search field</t>
  </si>
  <si>
    <t>1. Leave search box empty 2. Click Search icon</t>
  </si>
  <si>
    <t>Search text = blank</t>
  </si>
  <si>
    <t>Either all products shown or validation prompt, no crash</t>
  </si>
  <si>
    <t>TC_035</t>
  </si>
  <si>
    <t>Search with special characters only</t>
  </si>
  <si>
    <t>1. Enter '%%%$$$' 2. Click Search</t>
  </si>
  <si>
    <t>Search text = '%%%$$$'</t>
  </si>
  <si>
    <t>No matching results shown; no application error</t>
  </si>
  <si>
    <t>TC_036</t>
  </si>
  <si>
    <t>Search with leading/trailing spaces</t>
  </si>
  <si>
    <t>1. Enter '  Dress  ' with spaces 2. Click Search</t>
  </si>
  <si>
    <t>'  Dress  '</t>
  </si>
  <si>
    <t>Search trims spaces and returns same results as 'Dress'</t>
  </si>
  <si>
    <t>TC_037</t>
  </si>
  <si>
    <t>Search with partial product name</t>
  </si>
  <si>
    <t>1. Enter 'Tsh' 2. Click Search</t>
  </si>
  <si>
    <t>Search text = 'Tsh'</t>
  </si>
  <si>
    <t>Products containing 'Tsh' (e.g., T-shirts) listed</t>
  </si>
  <si>
    <t>TC_038</t>
  </si>
  <si>
    <t>Verify search results show product image, name and price</t>
  </si>
  <si>
    <t>Search executed with results</t>
  </si>
  <si>
    <t>1. Perform a valid search 2. Observe result cards</t>
  </si>
  <si>
    <t>Each result shows image, name, price and 'Add to cart' option</t>
  </si>
  <si>
    <t>TC_039</t>
  </si>
  <si>
    <t>Add product to cart directly from search results</t>
  </si>
  <si>
    <t>Search results displayed</t>
  </si>
  <si>
    <t>1. Search 'Top' 2. Hover on product 3. Click 'Add to cart'</t>
  </si>
  <si>
    <t>Search text = 'Top'</t>
  </si>
  <si>
    <t>Product added to cart; confirmation modal shown</t>
  </si>
  <si>
    <t>TC_040</t>
  </si>
  <si>
    <t>Search using numeric-only input</t>
  </si>
  <si>
    <t>1. Enter '12345' 2. Click Search</t>
  </si>
  <si>
    <t>Search text = '12345'</t>
  </si>
  <si>
    <t>No results found, handled gracefully</t>
  </si>
  <si>
    <t>TC_041</t>
  </si>
  <si>
    <t>Product Detail</t>
  </si>
  <si>
    <t>View product detail page</t>
  </si>
  <si>
    <t>Product listed on Products page</t>
  </si>
  <si>
    <t>1. Click on a product name/image</t>
  </si>
  <si>
    <t>Product detail page opens with name, price, availability, condition, brand</t>
  </si>
  <si>
    <t>TC_042</t>
  </si>
  <si>
    <t>Increase quantity using quantity field</t>
  </si>
  <si>
    <t>On Product Detail page</t>
  </si>
  <si>
    <t>1. Clear quantity box 2. Enter '5' 3. Click Add to cart</t>
  </si>
  <si>
    <t>Quantity = 5</t>
  </si>
  <si>
    <t>5 units of the product added to cart</t>
  </si>
  <si>
    <t>TC_043</t>
  </si>
  <si>
    <t>Enter quantity as 0</t>
  </si>
  <si>
    <t>1. Set quantity = 0 2. Click Add to cart</t>
  </si>
  <si>
    <t>Quantity = 0</t>
  </si>
  <si>
    <t>System prevents adding 0 quantity or defaults to 1 (verify actual behavior)</t>
  </si>
  <si>
    <t>TC_044</t>
  </si>
  <si>
    <t>Enter negative quantity</t>
  </si>
  <si>
    <t>1. Set quantity = -1 2. Click Add to cart</t>
  </si>
  <si>
    <t>Quantity = -1</t>
  </si>
  <si>
    <t>System should reject negative quantity</t>
  </si>
  <si>
    <t>TC_045</t>
  </si>
  <si>
    <t>Enter non-numeric quantity</t>
  </si>
  <si>
    <t>1. Enter 'abc' in quantity field 2. Click Add to cart</t>
  </si>
  <si>
    <t>Quantity = 'abc'</t>
  </si>
  <si>
    <t>Field should reject non-numeric input</t>
  </si>
  <si>
    <t>TC_046</t>
  </si>
  <si>
    <t>Verify product review submission with valid data</t>
  </si>
  <si>
    <t>1. Scroll to 'Write Your Review' 2. Enter Name, Email, Review 3. Submit</t>
  </si>
  <si>
    <t>Valid name, email, review text</t>
  </si>
  <si>
    <t>Review submitted successfully with confirmation message</t>
  </si>
  <si>
    <t>TC_047</t>
  </si>
  <si>
    <t>Submit review with empty review text</t>
  </si>
  <si>
    <t>1. Enter Name &amp; Email 2. Leave review text blank 3. Submit</t>
  </si>
  <si>
    <t>Review text = blank</t>
  </si>
  <si>
    <t>Validation error; review not submitted</t>
  </si>
  <si>
    <t>TC_048</t>
  </si>
  <si>
    <t>Verify 'Write Your Review' with invalid email</t>
  </si>
  <si>
    <t>1. Enter Name 2. Enter 'abc@' as email 3. Enter review 4. Submit</t>
  </si>
  <si>
    <t>Email = 'abc@'</t>
  </si>
  <si>
    <t>Validation error for invalid email format</t>
  </si>
  <si>
    <t>TC_049</t>
  </si>
  <si>
    <t>Cart</t>
  </si>
  <si>
    <t>Add single product to cart</t>
  </si>
  <si>
    <t>1. Click 'Add to cart' on a product 2. Click 'View Cart'</t>
  </si>
  <si>
    <t>Product appears in cart with correct name, price, qty=1</t>
  </si>
  <si>
    <t>TC_050</t>
  </si>
  <si>
    <t>Add multiple different products to cart</t>
  </si>
  <si>
    <t>1. Add Product A to cart 2. Continue shopping 3. Add Product B to cart</t>
  </si>
  <si>
    <t>2 distinct products</t>
  </si>
  <si>
    <t>Both products listed in cart with correct details</t>
  </si>
  <si>
    <t>TC_051</t>
  </si>
  <si>
    <t>Verify cart total price calculation</t>
  </si>
  <si>
    <t>Cart has 2+ items</t>
  </si>
  <si>
    <t>1. Add 2 products with known prices 2. Go to cart 3. Check total</t>
  </si>
  <si>
    <t>Product A: Rs.500, Product B: Rs.300</t>
  </si>
  <si>
    <t>Total = sum of (price x qty) for all items</t>
  </si>
  <si>
    <t>TC_052</t>
  </si>
  <si>
    <t>Remove product from cart</t>
  </si>
  <si>
    <t>Cart has at least 1 product</t>
  </si>
  <si>
    <t>1. Go to Cart 2. Click 'X' delete icon on a product</t>
  </si>
  <si>
    <t>Product removed from cart; total updates accordingly</t>
  </si>
  <si>
    <t>TC_053</t>
  </si>
  <si>
    <t>Verify empty cart message</t>
  </si>
  <si>
    <t>Cart has no products</t>
  </si>
  <si>
    <t>1. Ensure cart is empty 2. Navigate to Cart page</t>
  </si>
  <si>
    <t>'Cart is empty' message displayed with link to continue shopping</t>
  </si>
  <si>
    <t>TC_054</t>
  </si>
  <si>
    <t>Update quantity of an item already in cart</t>
  </si>
  <si>
    <t>Cart has 1 product</t>
  </si>
  <si>
    <t>1. Go to cart 2. Change quantity value 3. Click quantity update icon</t>
  </si>
  <si>
    <t>Change qty from 1 to 3</t>
  </si>
  <si>
    <t>Quantity and total price update correctly</t>
  </si>
  <si>
    <t>TC_055</t>
  </si>
  <si>
    <t>Set quantity to 0 for existing cart item</t>
  </si>
  <si>
    <t>1. Go to cart 2. Set quantity field to 0 3. Update</t>
  </si>
  <si>
    <t>Verify whether item is removed or update is blocked</t>
  </si>
  <si>
    <t>TC_056</t>
  </si>
  <si>
    <t>Verify cart persists after navigating to another page</t>
  </si>
  <si>
    <t>Cart has products</t>
  </si>
  <si>
    <t>1. Add product to cart 2. Navigate to Home 3. Return to Cart</t>
  </si>
  <si>
    <t>Previously added items remain in cart</t>
  </si>
  <si>
    <t>TC_057</t>
  </si>
  <si>
    <t>Add same product to cart twice</t>
  </si>
  <si>
    <t>Product already in cart</t>
  </si>
  <si>
    <t>1. Add Product A to cart 2. Go back and add Product A again</t>
  </si>
  <si>
    <t>Same product added twice</t>
  </si>
  <si>
    <t>Either quantity increments to 2, or a duplicate line is added (verify actual behavior)</t>
  </si>
  <si>
    <t>TC_058</t>
  </si>
  <si>
    <t>Proceed to checkout from cart with items</t>
  </si>
  <si>
    <t>Cart has 1+ products</t>
  </si>
  <si>
    <t>1. Go to Cart 2. Click 'Proceed To Checkout'</t>
  </si>
  <si>
    <t>User navigated to checkout/address review page</t>
  </si>
  <si>
    <t>TC_059</t>
  </si>
  <si>
    <t>Proceed to checkout with empty cart</t>
  </si>
  <si>
    <t>Cart is empty</t>
  </si>
  <si>
    <t>1. Navigate directly to Checkout with empty cart</t>
  </si>
  <si>
    <t>System blocks checkout or shows empty cart message</t>
  </si>
  <si>
    <t>TC_060</t>
  </si>
  <si>
    <t>Verify cart icon count in header updates</t>
  </si>
  <si>
    <t>User adds a product</t>
  </si>
  <si>
    <t>1. Note cart count in header 2. Add a product 3. Recheck header</t>
  </si>
  <si>
    <t>Cart item count increments correctly in header</t>
  </si>
  <si>
    <t>TC_061</t>
  </si>
  <si>
    <t>Verify product image and price match in cart vs product page</t>
  </si>
  <si>
    <t>Product added to cart</t>
  </si>
  <si>
    <t>1. Note price on Product page 2. Add to cart 3. Compare price in cart</t>
  </si>
  <si>
    <t>Price and image in cart exactly match the product page</t>
  </si>
  <si>
    <t>TC_062</t>
  </si>
  <si>
    <t>Add out-of-stock/unavailable product to cart (if applicable)</t>
  </si>
  <si>
    <t>Product marked unavailable</t>
  </si>
  <si>
    <t>1. Locate an out-of-stock product 2. Attempt Add to cart</t>
  </si>
  <si>
    <t>System should prevent adding unavailable stock, or clearly flag it</t>
  </si>
  <si>
    <t>TC_063</t>
  </si>
  <si>
    <t>Checkout</t>
  </si>
  <si>
    <t>Verify checkout page shows correct delivery address</t>
  </si>
  <si>
    <t>User logged in, cart has items</t>
  </si>
  <si>
    <t>1. Proceed to checkout</t>
  </si>
  <si>
    <t>Registered address</t>
  </si>
  <si>
    <t>Delivery address matches the address entered during registration</t>
  </si>
  <si>
    <t>TC_064</t>
  </si>
  <si>
    <t>Verify checkout page shows correct billing address</t>
  </si>
  <si>
    <t>1. Proceed to checkout 2. Check billing address section</t>
  </si>
  <si>
    <t>Billing address section displayed correctly</t>
  </si>
  <si>
    <t>TC_065</t>
  </si>
  <si>
    <t>Verify order review table lists all cart items</t>
  </si>
  <si>
    <t>1. Proceed to checkout 2. Scroll to Review Your Order</t>
  </si>
  <si>
    <t>All items, quantities and prices match what was in the cart</t>
  </si>
  <si>
    <t>TC_066</t>
  </si>
  <si>
    <t>Add order comment during checkout</t>
  </si>
  <si>
    <t>On Checkout page</t>
  </si>
  <si>
    <t>1. Enter text in comment textarea 2. Proceed to payment</t>
  </si>
  <si>
    <t>Comment = 'Please deliver after 6pm'</t>
  </si>
  <si>
    <t>Comment accepted and carried forward with order</t>
  </si>
  <si>
    <t>TC_067</t>
  </si>
  <si>
    <t>Checkout without being logged in</t>
  </si>
  <si>
    <t>User is a guest (not logged in)</t>
  </si>
  <si>
    <t>1. Add product to cart 2. Click Proceed to Checkout</t>
  </si>
  <si>
    <t>User prompted to Register/Login before checkout proceeds</t>
  </si>
  <si>
    <t>TC_068</t>
  </si>
  <si>
    <t>Verify 'Place Order' navigates to payment page</t>
  </si>
  <si>
    <t>On Checkout page, order reviewed</t>
  </si>
  <si>
    <t>1. Click 'Place Order' button</t>
  </si>
  <si>
    <t>User navigated to Payment page with amount payable shown</t>
  </si>
  <si>
    <t>TC_069</t>
  </si>
  <si>
    <t>Verify subtotal and total match cart values</t>
  </si>
  <si>
    <t>1. Compare cart total with checkout order review total</t>
  </si>
  <si>
    <t>Values are identical; no discrepancy</t>
  </si>
  <si>
    <t>TC_070</t>
  </si>
  <si>
    <t>Verify checkout page with single item in cart</t>
  </si>
  <si>
    <t>Cart has exactly 1 item</t>
  </si>
  <si>
    <t>1. Add 1 product 2. Proceed to checkout</t>
  </si>
  <si>
    <t>1 item</t>
  </si>
  <si>
    <t>Order review correctly reflects single item, no layout issues</t>
  </si>
  <si>
    <t>TC_071</t>
  </si>
  <si>
    <t>Verify checkout page with large quantity of items (10+ line items)</t>
  </si>
  <si>
    <t>Cart has 10+ products</t>
  </si>
  <si>
    <t>1. Add 10 different products 2. Proceed to checkout</t>
  </si>
  <si>
    <t>10+ items</t>
  </si>
  <si>
    <t>All items listed correctly without truncation; total calculated accurately</t>
  </si>
  <si>
    <t>TC_072</t>
  </si>
  <si>
    <t>Verify back navigation from checkout to cart</t>
  </si>
  <si>
    <t>1. Click browser Back button</t>
  </si>
  <si>
    <t>User returned to Cart page with items intact</t>
  </si>
  <si>
    <t>TC_073</t>
  </si>
  <si>
    <t>Verify tax/shipping (if any) reflected in order total</t>
  </si>
  <si>
    <t>1. Review order summary breakdown</t>
  </si>
  <si>
    <t>Any additional charges are itemized clearly before total</t>
  </si>
  <si>
    <t>TC_074</t>
  </si>
  <si>
    <t>Verify comment field accepts special characters</t>
  </si>
  <si>
    <t>1. Enter comment with special chars '&lt;&lt;script&gt;&gt;test'</t>
  </si>
  <si>
    <t>Comment with script-like text</t>
  </si>
  <si>
    <t>Input is safely handled/escaped, no script execution</t>
  </si>
  <si>
    <t>TC_075</t>
  </si>
  <si>
    <t>Payment</t>
  </si>
  <si>
    <t>Complete payment with valid card details</t>
  </si>
  <si>
    <t>User on Payment page</t>
  </si>
  <si>
    <t>1. Enter Name on Card, Card Number, CVC, Expiry Month/Year 2. Click 'Pay and Confirm Order'</t>
  </si>
  <si>
    <t>Valid dummy card: 4111111111111111, CVC 123, 12/2028</t>
  </si>
  <si>
    <t>Order placed successfully; 'Order Placed!' confirmation shown</t>
  </si>
  <si>
    <t>TC_076</t>
  </si>
  <si>
    <t>Submit payment with empty Name on Card</t>
  </si>
  <si>
    <t>On Payment page</t>
  </si>
  <si>
    <t>1. Leave Name field blank 2. Fill rest 3. Submit</t>
  </si>
  <si>
    <t>Validation error; payment not processed</t>
  </si>
  <si>
    <t>TC_077</t>
  </si>
  <si>
    <t>Submit payment with invalid card number (letters)</t>
  </si>
  <si>
    <t>1. Enter 'ABCDEFGHIJKL' as card number 2. Submit</t>
  </si>
  <si>
    <t>Card Number = letters</t>
  </si>
  <si>
    <t>Validation error for invalid card number format</t>
  </si>
  <si>
    <t>TC_078</t>
  </si>
  <si>
    <t>Submit payment with card number shorter than valid length</t>
  </si>
  <si>
    <t>1. Enter '123' as card number 2. Submit</t>
  </si>
  <si>
    <t>Card Number = '123'</t>
  </si>
  <si>
    <t>Validation error for incomplete card number</t>
  </si>
  <si>
    <t>TC_079</t>
  </si>
  <si>
    <t>Submit payment with expired card date</t>
  </si>
  <si>
    <t>1. Enter Expiry Month/Year = 01/2020 2. Submit</t>
  </si>
  <si>
    <t>Expiry = past date</t>
  </si>
  <si>
    <t>System should reject expired card date</t>
  </si>
  <si>
    <t>TC_080</t>
  </si>
  <si>
    <t>Submit payment with CVC less than 3 digits</t>
  </si>
  <si>
    <t>1. Enter CVC = '1' 2. Submit</t>
  </si>
  <si>
    <t>CVC = '1'</t>
  </si>
  <si>
    <t>Validation error for invalid CVC length</t>
  </si>
  <si>
    <t>TC_081</t>
  </si>
  <si>
    <t>Submit payment with all fields blank</t>
  </si>
  <si>
    <t>1. Leave all fields blank 2. Click Pay and Confirm Order</t>
  </si>
  <si>
    <t>All blank</t>
  </si>
  <si>
    <t>Form validation blocks submission with required-field messages</t>
  </si>
  <si>
    <t>TC_082</t>
  </si>
  <si>
    <t>Verify amount displayed on payment page matches order total</t>
  </si>
  <si>
    <t>1. Compare checkout total with payment page amount</t>
  </si>
  <si>
    <t>Amounts match exactly</t>
  </si>
  <si>
    <t>TC_083</t>
  </si>
  <si>
    <t>Verify order confirmation page after successful payment</t>
  </si>
  <si>
    <t>Payment submitted successfully</t>
  </si>
  <si>
    <t>1. Complete payment 2. Observe confirmation page</t>
  </si>
  <si>
    <t>Order ID, Congratulations message displayed</t>
  </si>
  <si>
    <t>TC_084</t>
  </si>
  <si>
    <t>Download invoice after order placement</t>
  </si>
  <si>
    <t>Order placed successfully</t>
  </si>
  <si>
    <t>1. On order confirmation page 2. Click 'Download Invoice'</t>
  </si>
  <si>
    <t>Invoice PDF/file downloads with correct order details</t>
  </si>
  <si>
    <t>TC_085</t>
  </si>
  <si>
    <t>Verify 'Continue' button after order confirmation redirects correctly</t>
  </si>
  <si>
    <t>Order confirmed</t>
  </si>
  <si>
    <t>1. Click 'Continue' on confirmation page</t>
  </si>
  <si>
    <t>User redirected to Home page</t>
  </si>
  <si>
    <t>TC_086</t>
  </si>
  <si>
    <t>Attempt payment with card number exceeding max length</t>
  </si>
  <si>
    <t>1. Enter a 25-digit number in card field 2. Submit</t>
  </si>
  <si>
    <t>25-digit card number</t>
  </si>
  <si>
    <t>Field restricts input length or shows validation error</t>
  </si>
  <si>
    <t>TC_087</t>
  </si>
  <si>
    <t>Contact Us</t>
  </si>
  <si>
    <t>Submit contact form with all valid details</t>
  </si>
  <si>
    <t>User on Contact Us page</t>
  </si>
  <si>
    <t>1. Enter Name, Email, Subject, Message 2. Upload a file (optional) 3. Click Submit</t>
  </si>
  <si>
    <t>Valid name, email, subject, message</t>
  </si>
  <si>
    <t>Success message 'Your message has been sent!' shown</t>
  </si>
  <si>
    <t>TC_088</t>
  </si>
  <si>
    <t>Submit contact form with empty Name field</t>
  </si>
  <si>
    <t>On Contact Us page</t>
  </si>
  <si>
    <t>1. Leave Name blank 2. Fill other fields 3. Submit</t>
  </si>
  <si>
    <t>Validation error; form not submitted</t>
  </si>
  <si>
    <t>TC_089</t>
  </si>
  <si>
    <t>Submit contact form with invalid email format</t>
  </si>
  <si>
    <t>1. Enter 'test#mail.com' as email 2. Fill other fields 3. Submit</t>
  </si>
  <si>
    <t>Email = 'test#mail.com'</t>
  </si>
  <si>
    <t>TC_090</t>
  </si>
  <si>
    <t>Submit contact form with empty Message field</t>
  </si>
  <si>
    <t>1. Fill Name/Email/Subject 2. Leave Message blank 3. Submit</t>
  </si>
  <si>
    <t>Message = blank</t>
  </si>
  <si>
    <t>TC_091</t>
  </si>
  <si>
    <t>Upload valid file type as attachment</t>
  </si>
  <si>
    <t>1. Fill form 2. Attach a .jpg/.pdf file 3. Submit</t>
  </si>
  <si>
    <t>Valid file &lt; size limit</t>
  </si>
  <si>
    <t>File uploaded and form submitted successfully</t>
  </si>
  <si>
    <t>TC_092</t>
  </si>
  <si>
    <t>Upload unsupported/oversized file</t>
  </si>
  <si>
    <t>1. Fill form 2. Attach an oversized or unsupported file type 3. Submit</t>
  </si>
  <si>
    <t>File exceeding limit / wrong type</t>
  </si>
  <si>
    <t>System rejects file with appropriate message</t>
  </si>
  <si>
    <t>Boundary/Negative Testing</t>
  </si>
  <si>
    <t>TC_093</t>
  </si>
  <si>
    <t>Verify 'Home' button after form submission</t>
  </si>
  <si>
    <t>Form submitted successfully</t>
  </si>
  <si>
    <t>1. Submit form 2. Click 'Home' button on success page</t>
  </si>
  <si>
    <t>TC_094</t>
  </si>
  <si>
    <t>Submit form with very long message text</t>
  </si>
  <si>
    <t>1. Enter message text of 2000+ characters 2. Submit</t>
  </si>
  <si>
    <t>2000+ char message</t>
  </si>
  <si>
    <t>Field accepts or gracefully truncates without crash</t>
  </si>
  <si>
    <t>TC_095</t>
  </si>
  <si>
    <t>Submit contact form without selecting a file (optional field)</t>
  </si>
  <si>
    <t>1. Fill Name/Email/Subject/Message 2. Skip file upload 3. Submit</t>
  </si>
  <si>
    <t>No file attached</t>
  </si>
  <si>
    <t>Form submits successfully since attachment is optional</t>
  </si>
  <si>
    <t>TC_096</t>
  </si>
  <si>
    <t>Subscription</t>
  </si>
  <si>
    <t>Subscribe with valid email on Home page footer</t>
  </si>
  <si>
    <t>1. Scroll to footer 2. Enter valid email 3. Click Subscribe arrow</t>
  </si>
  <si>
    <t>Valid email</t>
  </si>
  <si>
    <t>Success message 'You have been successfully subscribed!' shown</t>
  </si>
  <si>
    <t>TC_097</t>
  </si>
  <si>
    <t>Subscribe with empty email field</t>
  </si>
  <si>
    <t>User on Home page footer</t>
  </si>
  <si>
    <t>1. Leave email blank 2. Click Subscribe</t>
  </si>
  <si>
    <t>Browser validation prevents submission (required field)</t>
  </si>
  <si>
    <t>TC_098</t>
  </si>
  <si>
    <t>Subscribe with invalid email format</t>
  </si>
  <si>
    <t>1. Enter 'plainaddress' 2. Click Subscribe</t>
  </si>
  <si>
    <t>Email = 'plainaddress'</t>
  </si>
  <si>
    <t>TC_099</t>
  </si>
  <si>
    <t>Subscribe with already subscribed email</t>
  </si>
  <si>
    <t>Email previously subscribed</t>
  </si>
  <si>
    <t>1. Enter same email again 2. Click Subscribe</t>
  </si>
  <si>
    <t>Duplicate email</t>
  </si>
  <si>
    <t>Verify system behavior for duplicate subscription (no crash)</t>
  </si>
  <si>
    <t>TC_100</t>
  </si>
  <si>
    <t>Verify subscription option on Cart page footer</t>
  </si>
  <si>
    <t>User on Cart page</t>
  </si>
  <si>
    <t>1. Scroll to footer on Cart page 2. Enter valid email 3. Subscribe</t>
  </si>
  <si>
    <t>Subscription works consistently across pages</t>
  </si>
  <si>
    <t>TC_101</t>
  </si>
  <si>
    <t>Subscribe with email containing spaces</t>
  </si>
  <si>
    <t>On footer subscription box</t>
  </si>
  <si>
    <t>1. Enter ' test @mail.com ' with spaces 2. Submit</t>
  </si>
  <si>
    <t>Email with embedded spaces</t>
  </si>
  <si>
    <t>Validation should reject email with spaces</t>
  </si>
  <si>
    <t>TC_102</t>
  </si>
  <si>
    <t>Verify subscribe input field placeholder text</t>
  </si>
  <si>
    <t>User on any page footer</t>
  </si>
  <si>
    <t>1. Observe email input box before typing</t>
  </si>
  <si>
    <t>Placeholder text (e.g., 'Your email address') displayed correctly</t>
  </si>
  <si>
    <t>TC_103</t>
  </si>
  <si>
    <t>Navigation</t>
  </si>
  <si>
    <t>Verify all header menu links are functional</t>
  </si>
  <si>
    <t>1. Click each header link: Home, Products, Cart, Signup/Login, Test Cases, API Testing, Video Tutorials, Contact us</t>
  </si>
  <si>
    <t>Each link navigates to its correct respective page</t>
  </si>
  <si>
    <t>TC_104</t>
  </si>
  <si>
    <t>Verify logo click redirects to Home page</t>
  </si>
  <si>
    <t>User on any internal page</t>
  </si>
  <si>
    <t>1. Click website logo in header</t>
  </si>
  <si>
    <t>TC_105</t>
  </si>
  <si>
    <t>Verify footer social media icons open correct links</t>
  </si>
  <si>
    <t>1. Click Facebook/Twitter/Instagram icons in footer</t>
  </si>
  <si>
    <t>Correct social media pages open in new tab</t>
  </si>
  <si>
    <t>TC_106</t>
  </si>
  <si>
    <t>Verify Category filter (Women/Men/Kids) in left panel</t>
  </si>
  <si>
    <t>1. Click 'Women' category 2. Click a sub-category e.g. 'Dress'</t>
  </si>
  <si>
    <t>Category = Women &gt; Dress</t>
  </si>
  <si>
    <t>Products filtered correctly to match selected category</t>
  </si>
  <si>
    <t>TC_107</t>
  </si>
  <si>
    <t>Verify Brand filter in left panel</t>
  </si>
  <si>
    <t>1. Click a brand name e.g. 'Polo' under Brands panel</t>
  </si>
  <si>
    <t>Brand = Polo</t>
  </si>
  <si>
    <t>Only products of selected brand are displayed</t>
  </si>
  <si>
    <t>TC_108</t>
  </si>
  <si>
    <t>Verify 'Recommended Items' carousel on Home page</t>
  </si>
  <si>
    <t>1. Scroll to Recommended items section 2. Click next/prev arrows</t>
  </si>
  <si>
    <t>Carousel scrolls smoothly showing different products</t>
  </si>
  <si>
    <t>TC_109</t>
  </si>
  <si>
    <t>Verify page behaves correctly on browser refresh (F5)</t>
  </si>
  <si>
    <t>User mid-way in cart flow</t>
  </si>
  <si>
    <t>1. Add products to cart 2. Press F5 to refresh page</t>
  </si>
  <si>
    <t>Cart data persists correctly; page reloads without error</t>
  </si>
  <si>
    <t>TC_110</t>
  </si>
  <si>
    <t>Verify 404/invalid URL handling</t>
  </si>
  <si>
    <t>1. Navigate to a non-existent URL on the domain e.g. /invalidpage123</t>
  </si>
  <si>
    <t>Invalid URL path</t>
  </si>
  <si>
    <t>A graceful 404 or redirect is shown, not a broken/blank page</t>
  </si>
  <si>
    <t>Bug ID</t>
  </si>
  <si>
    <t>Title</t>
  </si>
  <si>
    <t>Severity</t>
  </si>
  <si>
    <t>Steps to Reproduce</t>
  </si>
  <si>
    <t>Environment</t>
  </si>
  <si>
    <t>Reported By</t>
  </si>
  <si>
    <t>BUG_001</t>
  </si>
  <si>
    <t>Cart accepts negative quantity value</t>
  </si>
  <si>
    <t>1. Add a product to cart 2. Go to Cart page 3. Change quantity field to -1 4. Click quantity update icon</t>
  </si>
  <si>
    <t>System should reject negative quantity and show a validation message</t>
  </si>
  <si>
    <t>Cart accepts -1 as quantity; total price becomes negative</t>
  </si>
  <si>
    <t>Chrome v128, Windows 11</t>
  </si>
  <si>
    <t>Open</t>
  </si>
  <si>
    <t>BUG_002</t>
  </si>
  <si>
    <t>Checkout accessible without login in some flows</t>
  </si>
  <si>
    <t>1. As a guest, add product to cart 2. Click Proceed to Checkout directly via URL</t>
  </si>
  <si>
    <t>User should be redirected to Register/Login page before checkout</t>
  </si>
  <si>
    <t>In certain cases the checkout page partially loads before the login prompt appears</t>
  </si>
  <si>
    <t>BUG_003</t>
  </si>
  <si>
    <t>Invalid email format accepted in Contact Us form</t>
  </si>
  <si>
    <t>1. Go to Contact Us page 2. Enter 'test#mail.com' as email 3. Fill other fields 4. Submit</t>
  </si>
  <si>
    <t>Form should show validation error for invalid email format</t>
  </si>
  <si>
    <t>Form submits successfully despite malformed email</t>
  </si>
  <si>
    <t>Firefox v130, Windows 11</t>
  </si>
  <si>
    <t>BUG_004</t>
  </si>
  <si>
    <t>Search results not cleared when search box is emptied and re-searched</t>
  </si>
  <si>
    <t>1. Search 'Dress' and view results 2. Clear search box 3. Click Search icon again</t>
  </si>
  <si>
    <t>All products should be displayed when search text is empty</t>
  </si>
  <si>
    <t>Previous search results remain displayed instead of resetting to full list</t>
  </si>
  <si>
    <t>BUG_005</t>
  </si>
  <si>
    <t>Duplicate product adds a separate cart line instead of incrementing quantity</t>
  </si>
  <si>
    <t>1. Add Product A to cart 2. Navigate back to Products 3. Add Product A again</t>
  </si>
  <si>
    <t>Quantity of existing line item should increment to 2</t>
  </si>
  <si>
    <t>A second separate line item for the same product is created in the cart</t>
  </si>
  <si>
    <t>BUG_006</t>
  </si>
  <si>
    <t>Newsletter subscription allows email with leading/trailing spaces</t>
  </si>
  <si>
    <t>1. Go to footer subscription box 2. Enter ' test@mail.com ' with spaces 3. Click Subscribe</t>
  </si>
  <si>
    <t>Email with spaces should be trimmed or rejected with validation error</t>
  </si>
  <si>
    <t>Subscription succeeds without trimming the spaces, storing malformed email</t>
  </si>
  <si>
    <t>BUG_007</t>
  </si>
  <si>
    <t>Payment form accepts expired card date without warning</t>
  </si>
  <si>
    <t>1. Reach Payment page 2. Enter card expiry = 01/2020 (past date) 3. Submit payment</t>
  </si>
  <si>
    <t>System should reject an expired expiry date with a validation message</t>
  </si>
  <si>
    <t>Payment is processed and order confirmed despite the expired date</t>
  </si>
  <si>
    <t>BUG_008</t>
  </si>
  <si>
    <t>Product quantity field on detail page accepts 0</t>
  </si>
  <si>
    <t>1. Open a product detail page 2. Set quantity field to 0 3. Click Add to cart</t>
  </si>
  <si>
    <t>System should block adding 0 quantity to the cart</t>
  </si>
  <si>
    <t>Product with quantity 0 gets added, showing 0 units in cart</t>
  </si>
  <si>
    <t>BUG_009</t>
  </si>
  <si>
    <t>Broken image on select 'Recommended Items' carousel entries</t>
  </si>
  <si>
    <t>1. Go to Home page 2. Scroll to Recommended Items 3. Click 'next' several times</t>
  </si>
  <si>
    <t>All product images in the carousel should load correctly</t>
  </si>
  <si>
    <t>Occasionally a placeholder/broken image icon appears for one or two products</t>
  </si>
  <si>
    <t>BUG_010</t>
  </si>
  <si>
    <t>Contact Us success message not dismissible / persists on scroll</t>
  </si>
  <si>
    <t>1. Submit a valid Contact Us form 2. Scroll up and down the confirmation page</t>
  </si>
  <si>
    <t>Success banner should behave consistently (dismiss or stay fixed as intended)</t>
  </si>
  <si>
    <t>Success banner overlaps with header content when scrolling back up</t>
  </si>
  <si>
    <t>Req ID</t>
  </si>
  <si>
    <t>Requirement Description</t>
  </si>
  <si>
    <t>Related Test Case IDs</t>
  </si>
  <si>
    <t>Related Bug IDs</t>
  </si>
  <si>
    <t>Coverage Status</t>
  </si>
  <si>
    <t>REQ_01</t>
  </si>
  <si>
    <t>User shall be able to register a new account</t>
  </si>
  <si>
    <t>TC_001, TC_002, TC_003, TC_004, TC_005, TC_006, TC_007, TC_008, TC_009, TC_010, TC_011, TC_012, TC_013, TC_014, TC_015, TC_016</t>
  </si>
  <si>
    <t>Covered</t>
  </si>
  <si>
    <t>REQ_02</t>
  </si>
  <si>
    <t>User shall be able to login with valid credentials and be blocked with invalid ones</t>
  </si>
  <si>
    <t>TC_017, TC_018, TC_019, TC_020, TC_021, TC_022, TC_023, TC_024, TC_025, TC_026, TC_027, TC_028, TC_029, TC_030</t>
  </si>
  <si>
    <t>REQ_03</t>
  </si>
  <si>
    <t>User shall be able to search products by keyword</t>
  </si>
  <si>
    <t>TC_031, TC_032, TC_033, TC_034, TC_035, TC_036, TC_037, TC_038, TC_039, TC_040</t>
  </si>
  <si>
    <t>REQ_04</t>
  </si>
  <si>
    <t>User shall be able to view detailed product information and submit reviews</t>
  </si>
  <si>
    <t>TC_041, TC_042, TC_043, TC_044, TC_045, TC_046, TC_047, TC_048</t>
  </si>
  <si>
    <t>REQ_05</t>
  </si>
  <si>
    <t>User shall be able to add, update and remove items from cart</t>
  </si>
  <si>
    <t>TC_049, TC_050, TC_051, TC_052, TC_053, TC_054, TC_055, TC_056, TC_057, TC_058, TC_059, TC_060, TC_061, TC_062</t>
  </si>
  <si>
    <t>BUG_001, BUG_005</t>
  </si>
  <si>
    <t>REQ_06</t>
  </si>
  <si>
    <t>User shall be able to review order details before payment</t>
  </si>
  <si>
    <t>TC_063, TC_064, TC_065, TC_066, TC_067, TC_068, TC_069, TC_070, TC_071, TC_072, TC_073, TC_074</t>
  </si>
  <si>
    <t>REQ_07</t>
  </si>
  <si>
    <t>User shall be able to complete payment and receive order confirmation</t>
  </si>
  <si>
    <t>TC_075, TC_076, TC_077, TC_078, TC_079, TC_080, TC_081, TC_082, TC_083, TC_084, TC_085, TC_086</t>
  </si>
  <si>
    <t>REQ_08</t>
  </si>
  <si>
    <t>User shall be able to submit queries via Contact Us form</t>
  </si>
  <si>
    <t>TC_087, TC_088, TC_089, TC_090, TC_091, TC_092, TC_093, TC_094, TC_095</t>
  </si>
  <si>
    <t>BUG_003, BUG_010</t>
  </si>
  <si>
    <t>REQ_09</t>
  </si>
  <si>
    <t>User shall be able to subscribe to the newsletter</t>
  </si>
  <si>
    <t>TC_096, TC_097, TC_098, TC_099, TC_100, TC_101, TC_102</t>
  </si>
  <si>
    <t>REQ_10</t>
  </si>
  <si>
    <t>User shall be able to navigate the site via header/footer/category links</t>
  </si>
  <si>
    <t>TC_103, TC_104, TC_105, TC_106, TC_107, TC_108, TC_109, TC_110</t>
  </si>
  <si>
    <t>TEST SUMMARY REPORT</t>
  </si>
  <si>
    <t>Project</t>
  </si>
  <si>
    <t>E-Commerce Website Testing (AutomationExercise)</t>
  </si>
  <si>
    <t>Tested By</t>
  </si>
  <si>
    <t>Test Period</t>
  </si>
  <si>
    <t>Metric</t>
  </si>
  <si>
    <t>Value</t>
  </si>
  <si>
    <t>Total Test Cases Designed</t>
  </si>
  <si>
    <t>Total Passed</t>
  </si>
  <si>
    <t>Total Failed</t>
  </si>
  <si>
    <t>Total Blocked</t>
  </si>
  <si>
    <t>Total Not Executed</t>
  </si>
  <si>
    <t>Pass %</t>
  </si>
  <si>
    <t>Total Bugs Logged</t>
  </si>
  <si>
    <t>High Severity Bugs</t>
  </si>
  <si>
    <t>Medium Severity Bugs</t>
  </si>
  <si>
    <t>Low Severity Bugs</t>
  </si>
  <si>
    <t>Conclusion</t>
  </si>
  <si>
    <t>Out of 121 test cases executed, X passed and Y failed. 10 defects were logged, of which Z are High severity and still Open. The application is functionally acceptable for the modules tested with the noted defects pending fixes.</t>
  </si>
  <si>
    <t>pass</t>
  </si>
  <si>
    <t>Fail</t>
  </si>
  <si>
    <t>Email Address already exist!</t>
  </si>
  <si>
    <t>fail</t>
  </si>
  <si>
    <t>Account is Created not show error</t>
  </si>
  <si>
    <t>Pass</t>
  </si>
  <si>
    <t>Faill</t>
  </si>
  <si>
    <t>Gmail is Required</t>
  </si>
  <si>
    <t xml:space="preserve"> No they show your email or password is incorrect</t>
  </si>
  <si>
    <t>No same user name is here</t>
  </si>
  <si>
    <t>I'll give 250 charcters but no error throw is it fail and mail id is this "kali.linux.security.expert.penetration.tester.ethical.hacker.network.administrator.vulnerability.analyst.cyber.defense.incident.responder.digital.forensics.threat.hunter.infosec.engineer.devops.cloud.architect.systems.auditor.malware.researcher@gmail.com";</t>
  </si>
  <si>
    <t>Nothing to happen</t>
  </si>
  <si>
    <t xml:space="preserve">No its required Login details </t>
  </si>
  <si>
    <t>No one is show is it empty throw</t>
  </si>
  <si>
    <t>NO</t>
  </si>
  <si>
    <t>No is is add -1 quantity and price also -$</t>
  </si>
  <si>
    <t>qty = 2 and change the price</t>
  </si>
  <si>
    <t xml:space="preserve">Fail </t>
  </si>
  <si>
    <t>I give value of 3 cart has already 1 product so total 4 quantity add</t>
  </si>
  <si>
    <t>NA</t>
  </si>
  <si>
    <t>No added dupicate they only update quantity value</t>
  </si>
  <si>
    <t>No additional charges included</t>
  </si>
  <si>
    <t xml:space="preserve"> succesfully order</t>
  </si>
  <si>
    <t xml:space="preserve"> validation error throw they succesfully order confirmation</t>
  </si>
  <si>
    <t>succesfully oreder confirmation</t>
  </si>
  <si>
    <t>oder has been succesfully show</t>
  </si>
  <si>
    <t>Sucessfully submited</t>
  </si>
  <si>
    <t>faill</t>
  </si>
  <si>
    <t>Success! Your details have been submitted successfully.</t>
  </si>
  <si>
    <t>they show again same message for example firstime you entered the email and show your email is successfully subscribed so agin this message is show</t>
  </si>
  <si>
    <t>No one is icons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</si>
</sst>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2F5597"/>
      <name val="Arial"/>
      <charset val="1"/>
    </font>
    <font>
      <b/>
      <sz val="11"/>
      <color rgb="FF2F5597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6"/>
      <color rgb="FFFF0000"/>
      <name val="Roboto"/>
    </font>
    <font>
      <sz val="18"/>
      <color rgb="FFFF0000"/>
      <name val="Roboto"/>
    </font>
    <font>
      <sz val="10"/>
      <name val="Arial"/>
      <family val="2"/>
    </font>
    <font>
      <sz val="12"/>
      <color rgb="FFFF0000"/>
      <name val="Roboto"/>
    </font>
    <font>
      <u/>
      <sz val="11"/>
      <color theme="10"/>
      <name val="Calibri"/>
      <family val="2"/>
      <charset val="1"/>
    </font>
    <font>
      <sz val="8"/>
      <color rgb="FF3C763D"/>
      <name val="Roboto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D6E9C6"/>
      </left>
      <right style="medium">
        <color rgb="FFD6E9C6"/>
      </right>
      <top style="medium">
        <color rgb="FFD6E9C6"/>
      </top>
      <bottom style="medium">
        <color rgb="FFD6E9C6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ont="1" applyBorder="1" applyAlignment="1">
      <alignment vertical="top" wrapText="1"/>
    </xf>
    <xf numFmtId="0" fontId="1" fillId="0" borderId="0" xfId="0" applyFont="1" applyBorder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1" applyBorder="1" applyAlignment="1">
      <alignment vertical="top" wrapText="1"/>
    </xf>
    <xf numFmtId="0" fontId="10" fillId="0" borderId="2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USER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90" customWidth="1"/>
  </cols>
  <sheetData>
    <row r="1" spans="1:2" ht="17.399999999999999" x14ac:dyDescent="0.3">
      <c r="A1" s="2" t="s">
        <v>0</v>
      </c>
      <c r="B1" s="2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7" spans="1:2" ht="54.75" customHeight="1" x14ac:dyDescent="0.3">
      <c r="A7" s="3" t="s">
        <v>9</v>
      </c>
      <c r="B7" s="4" t="s">
        <v>10</v>
      </c>
    </row>
    <row r="9" spans="1:2" ht="54.75" customHeight="1" x14ac:dyDescent="0.3">
      <c r="A9" s="3" t="s">
        <v>11</v>
      </c>
      <c r="B9" s="4" t="s">
        <v>12</v>
      </c>
    </row>
    <row r="11" spans="1:2" ht="54.75" customHeight="1" x14ac:dyDescent="0.3">
      <c r="A11" s="3" t="s">
        <v>13</v>
      </c>
      <c r="B11" s="4" t="s">
        <v>14</v>
      </c>
    </row>
    <row r="13" spans="1:2" ht="54.75" customHeight="1" x14ac:dyDescent="0.3">
      <c r="A13" s="3" t="s">
        <v>15</v>
      </c>
      <c r="B13" s="4" t="s">
        <v>16</v>
      </c>
    </row>
    <row r="15" spans="1:2" ht="54.75" customHeight="1" x14ac:dyDescent="0.3">
      <c r="A15" s="3" t="s">
        <v>17</v>
      </c>
      <c r="B15" s="4" t="s">
        <v>18</v>
      </c>
    </row>
    <row r="17" spans="1:2" ht="54.75" customHeight="1" x14ac:dyDescent="0.3">
      <c r="A17" s="3" t="s">
        <v>19</v>
      </c>
      <c r="B17" s="4" t="s">
        <v>20</v>
      </c>
    </row>
    <row r="19" spans="1:2" ht="54.75" customHeight="1" x14ac:dyDescent="0.3">
      <c r="A19" s="3" t="s">
        <v>21</v>
      </c>
      <c r="B19" s="4" t="s">
        <v>22</v>
      </c>
    </row>
    <row r="21" spans="1:2" ht="54.75" customHeight="1" x14ac:dyDescent="0.3">
      <c r="A21" s="3" t="s">
        <v>23</v>
      </c>
      <c r="B21" s="4" t="s">
        <v>24</v>
      </c>
    </row>
    <row r="23" spans="1:2" ht="54.75" customHeight="1" x14ac:dyDescent="0.3">
      <c r="A23" s="3" t="s">
        <v>25</v>
      </c>
      <c r="B23" s="4" t="s">
        <v>26</v>
      </c>
    </row>
    <row r="25" spans="1:2" ht="54.75" customHeight="1" x14ac:dyDescent="0.3">
      <c r="A25" s="3" t="s">
        <v>27</v>
      </c>
      <c r="B25" s="4" t="s">
        <v>28</v>
      </c>
    </row>
    <row r="27" spans="1:2" ht="54.75" customHeight="1" x14ac:dyDescent="0.3">
      <c r="A27" s="3" t="s">
        <v>29</v>
      </c>
      <c r="B27" s="4" t="s">
        <v>30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tabSelected="1" topLeftCell="B1" zoomScaleNormal="100" workbookViewId="0">
      <pane ySplit="1" topLeftCell="A93" activePane="bottomLeft" state="frozen"/>
      <selection pane="bottomLeft" activeCell="I96" sqref="I96"/>
    </sheetView>
  </sheetViews>
  <sheetFormatPr defaultColWidth="8.6640625" defaultRowHeight="14.4" x14ac:dyDescent="0.3"/>
  <cols>
    <col min="1" max="1" width="10" customWidth="1"/>
    <col min="2" max="2" width="14" customWidth="1"/>
    <col min="3" max="3" width="26" customWidth="1"/>
    <col min="4" max="4" width="22" customWidth="1"/>
    <col min="5" max="5" width="40" customWidth="1"/>
    <col min="6" max="6" width="22" customWidth="1"/>
    <col min="7" max="7" width="34" customWidth="1"/>
    <col min="8" max="8" width="24" customWidth="1"/>
    <col min="9" max="10" width="10" customWidth="1"/>
    <col min="11" max="11" width="16" customWidth="1"/>
    <col min="12" max="12" width="14" customWidth="1"/>
  </cols>
  <sheetData>
    <row r="1" spans="1:12" x14ac:dyDescent="0.3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</row>
    <row r="2" spans="1:12" ht="42" customHeight="1" x14ac:dyDescent="0.3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/>
      <c r="I2" s="6" t="s">
        <v>734</v>
      </c>
      <c r="J2" s="6" t="s">
        <v>51</v>
      </c>
      <c r="K2" s="6" t="s">
        <v>52</v>
      </c>
      <c r="L2" s="6" t="s">
        <v>4</v>
      </c>
    </row>
    <row r="3" spans="1:12" ht="42" customHeight="1" x14ac:dyDescent="0.3">
      <c r="A3" s="6" t="s">
        <v>53</v>
      </c>
      <c r="B3" s="6" t="s">
        <v>44</v>
      </c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  <c r="H3" s="6"/>
      <c r="I3" s="6" t="s">
        <v>734</v>
      </c>
      <c r="J3" s="6" t="s">
        <v>59</v>
      </c>
      <c r="K3" s="6" t="s">
        <v>60</v>
      </c>
      <c r="L3" s="6" t="s">
        <v>4</v>
      </c>
    </row>
    <row r="4" spans="1:12" ht="42" customHeight="1" x14ac:dyDescent="0.3">
      <c r="A4" s="6" t="s">
        <v>61</v>
      </c>
      <c r="B4" s="6" t="s">
        <v>44</v>
      </c>
      <c r="C4" s="6" t="s">
        <v>62</v>
      </c>
      <c r="D4" s="6" t="s">
        <v>55</v>
      </c>
      <c r="E4" s="6" t="s">
        <v>63</v>
      </c>
      <c r="F4" s="6" t="s">
        <v>64</v>
      </c>
      <c r="G4" s="6" t="s">
        <v>65</v>
      </c>
      <c r="H4" s="6"/>
      <c r="I4" s="6" t="s">
        <v>734</v>
      </c>
      <c r="J4" s="6" t="s">
        <v>51</v>
      </c>
      <c r="K4" s="6" t="s">
        <v>66</v>
      </c>
      <c r="L4" s="6" t="s">
        <v>4</v>
      </c>
    </row>
    <row r="5" spans="1:12" ht="42" customHeight="1" x14ac:dyDescent="0.3">
      <c r="A5" s="6" t="s">
        <v>67</v>
      </c>
      <c r="B5" s="6" t="s">
        <v>44</v>
      </c>
      <c r="C5" s="6" t="s">
        <v>68</v>
      </c>
      <c r="D5" s="6" t="s">
        <v>55</v>
      </c>
      <c r="E5" s="6" t="s">
        <v>69</v>
      </c>
      <c r="F5" s="6" t="s">
        <v>70</v>
      </c>
      <c r="G5" s="6" t="s">
        <v>71</v>
      </c>
      <c r="H5" s="6"/>
      <c r="I5" s="6" t="s">
        <v>734</v>
      </c>
      <c r="J5" s="6" t="s">
        <v>59</v>
      </c>
      <c r="K5" s="6" t="s">
        <v>60</v>
      </c>
      <c r="L5" s="6" t="s">
        <v>4</v>
      </c>
    </row>
    <row r="6" spans="1:12" ht="42" customHeight="1" x14ac:dyDescent="0.3">
      <c r="A6" s="6" t="s">
        <v>72</v>
      </c>
      <c r="B6" s="6" t="s">
        <v>44</v>
      </c>
      <c r="C6" s="6" t="s">
        <v>73</v>
      </c>
      <c r="D6" s="6" t="s">
        <v>55</v>
      </c>
      <c r="E6" s="6" t="s">
        <v>74</v>
      </c>
      <c r="F6" s="6" t="s">
        <v>75</v>
      </c>
      <c r="G6" s="6" t="s">
        <v>76</v>
      </c>
      <c r="H6" s="6"/>
      <c r="I6" s="6" t="s">
        <v>734</v>
      </c>
      <c r="J6" s="6" t="s">
        <v>77</v>
      </c>
      <c r="K6" s="6" t="s">
        <v>52</v>
      </c>
      <c r="L6" s="6" t="s">
        <v>4</v>
      </c>
    </row>
    <row r="7" spans="1:12" ht="42" customHeight="1" x14ac:dyDescent="0.3">
      <c r="A7" s="6" t="s">
        <v>78</v>
      </c>
      <c r="B7" s="6" t="s">
        <v>44</v>
      </c>
      <c r="C7" s="6" t="s">
        <v>79</v>
      </c>
      <c r="D7" s="6" t="s">
        <v>80</v>
      </c>
      <c r="E7" s="6" t="s">
        <v>81</v>
      </c>
      <c r="F7" s="6" t="s">
        <v>82</v>
      </c>
      <c r="G7" s="6" t="s">
        <v>83</v>
      </c>
      <c r="H7" s="6"/>
      <c r="I7" s="6" t="s">
        <v>734</v>
      </c>
      <c r="J7" s="6" t="s">
        <v>59</v>
      </c>
      <c r="K7" s="6" t="s">
        <v>84</v>
      </c>
      <c r="L7" s="6" t="s">
        <v>4</v>
      </c>
    </row>
    <row r="8" spans="1:12" ht="42" customHeight="1" x14ac:dyDescent="0.3">
      <c r="A8" s="6" t="s">
        <v>85</v>
      </c>
      <c r="B8" s="6" t="s">
        <v>44</v>
      </c>
      <c r="C8" s="6" t="s">
        <v>86</v>
      </c>
      <c r="D8" s="6" t="s">
        <v>80</v>
      </c>
      <c r="E8" s="6" t="s">
        <v>87</v>
      </c>
      <c r="F8" s="6" t="s">
        <v>88</v>
      </c>
      <c r="G8" s="6" t="s">
        <v>89</v>
      </c>
      <c r="H8" s="6"/>
      <c r="I8" s="6" t="s">
        <v>734</v>
      </c>
      <c r="J8" s="6" t="s">
        <v>51</v>
      </c>
      <c r="K8" s="6" t="s">
        <v>60</v>
      </c>
      <c r="L8" s="6" t="s">
        <v>4</v>
      </c>
    </row>
    <row r="9" spans="1:12" ht="42" customHeight="1" x14ac:dyDescent="0.3">
      <c r="A9" s="6" t="s">
        <v>90</v>
      </c>
      <c r="B9" s="6" t="s">
        <v>44</v>
      </c>
      <c r="C9" s="6" t="s">
        <v>91</v>
      </c>
      <c r="D9" s="6" t="s">
        <v>80</v>
      </c>
      <c r="E9" s="6" t="s">
        <v>92</v>
      </c>
      <c r="F9" s="6" t="s">
        <v>93</v>
      </c>
      <c r="G9" s="6" t="s">
        <v>94</v>
      </c>
      <c r="H9" s="6"/>
      <c r="I9" s="6" t="s">
        <v>734</v>
      </c>
      <c r="J9" s="6" t="s">
        <v>59</v>
      </c>
      <c r="K9" s="6" t="s">
        <v>95</v>
      </c>
      <c r="L9" s="6" t="s">
        <v>4</v>
      </c>
    </row>
    <row r="10" spans="1:12" ht="42" customHeight="1" x14ac:dyDescent="0.3">
      <c r="A10" s="6" t="s">
        <v>96</v>
      </c>
      <c r="B10" s="6" t="s">
        <v>44</v>
      </c>
      <c r="C10" s="6" t="s">
        <v>97</v>
      </c>
      <c r="D10" s="6" t="s">
        <v>80</v>
      </c>
      <c r="E10" s="6" t="s">
        <v>98</v>
      </c>
      <c r="F10" s="6" t="s">
        <v>99</v>
      </c>
      <c r="G10" s="6" t="s">
        <v>100</v>
      </c>
      <c r="H10" s="6"/>
      <c r="I10" s="6" t="s">
        <v>734</v>
      </c>
      <c r="J10" s="6" t="s">
        <v>51</v>
      </c>
      <c r="K10" s="6" t="s">
        <v>95</v>
      </c>
      <c r="L10" s="6" t="s">
        <v>4</v>
      </c>
    </row>
    <row r="11" spans="1:12" ht="42" customHeight="1" x14ac:dyDescent="0.3">
      <c r="A11" s="6" t="s">
        <v>101</v>
      </c>
      <c r="B11" s="6" t="s">
        <v>44</v>
      </c>
      <c r="C11" s="6" t="s">
        <v>102</v>
      </c>
      <c r="D11" s="6" t="s">
        <v>80</v>
      </c>
      <c r="E11" s="6" t="s">
        <v>103</v>
      </c>
      <c r="F11" s="6" t="s">
        <v>104</v>
      </c>
      <c r="G11" s="6" t="s">
        <v>105</v>
      </c>
      <c r="H11" s="6"/>
      <c r="I11" s="6" t="s">
        <v>734</v>
      </c>
      <c r="J11" s="6" t="s">
        <v>77</v>
      </c>
      <c r="K11" s="6" t="s">
        <v>84</v>
      </c>
      <c r="L11" s="6" t="s">
        <v>4</v>
      </c>
    </row>
    <row r="12" spans="1:12" ht="42" customHeight="1" x14ac:dyDescent="0.4">
      <c r="A12" s="6" t="s">
        <v>106</v>
      </c>
      <c r="B12" s="6" t="s">
        <v>44</v>
      </c>
      <c r="C12" s="6" t="s">
        <v>107</v>
      </c>
      <c r="D12" s="6" t="s">
        <v>108</v>
      </c>
      <c r="E12" s="6" t="s">
        <v>109</v>
      </c>
      <c r="F12" s="6" t="s">
        <v>110</v>
      </c>
      <c r="G12" s="6" t="s">
        <v>111</v>
      </c>
      <c r="H12" s="14" t="s">
        <v>736</v>
      </c>
      <c r="I12" s="6" t="s">
        <v>735</v>
      </c>
      <c r="J12" s="6" t="s">
        <v>51</v>
      </c>
      <c r="K12" s="6" t="s">
        <v>60</v>
      </c>
      <c r="L12" s="6" t="s">
        <v>4</v>
      </c>
    </row>
    <row r="13" spans="1:12" ht="42" customHeight="1" x14ac:dyDescent="0.45">
      <c r="A13" s="6" t="s">
        <v>112</v>
      </c>
      <c r="B13" s="6" t="s">
        <v>44</v>
      </c>
      <c r="C13" s="6" t="s">
        <v>113</v>
      </c>
      <c r="D13" s="6" t="s">
        <v>108</v>
      </c>
      <c r="E13" s="6" t="s">
        <v>114</v>
      </c>
      <c r="F13" s="6" t="s">
        <v>115</v>
      </c>
      <c r="G13" s="6" t="s">
        <v>116</v>
      </c>
      <c r="H13" s="15" t="s">
        <v>736</v>
      </c>
      <c r="I13" s="16" t="s">
        <v>737</v>
      </c>
      <c r="J13" s="6" t="s">
        <v>59</v>
      </c>
      <c r="K13" s="6" t="s">
        <v>84</v>
      </c>
      <c r="L13" s="6" t="s">
        <v>4</v>
      </c>
    </row>
    <row r="14" spans="1:12" ht="42" customHeight="1" x14ac:dyDescent="0.3">
      <c r="A14" s="6" t="s">
        <v>117</v>
      </c>
      <c r="B14" s="6" t="s">
        <v>44</v>
      </c>
      <c r="C14" s="6" t="s">
        <v>118</v>
      </c>
      <c r="D14" s="6" t="s">
        <v>80</v>
      </c>
      <c r="E14" s="6" t="s">
        <v>119</v>
      </c>
      <c r="F14" s="6" t="s">
        <v>120</v>
      </c>
      <c r="G14" s="6" t="s">
        <v>121</v>
      </c>
      <c r="H14" s="16" t="s">
        <v>738</v>
      </c>
      <c r="I14" s="16" t="s">
        <v>737</v>
      </c>
      <c r="J14" s="6" t="s">
        <v>51</v>
      </c>
      <c r="K14" s="6" t="s">
        <v>60</v>
      </c>
      <c r="L14" s="6" t="s">
        <v>4</v>
      </c>
    </row>
    <row r="15" spans="1:12" ht="42" customHeight="1" x14ac:dyDescent="0.3">
      <c r="A15" s="6" t="s">
        <v>122</v>
      </c>
      <c r="B15" s="6" t="s">
        <v>44</v>
      </c>
      <c r="C15" s="6" t="s">
        <v>123</v>
      </c>
      <c r="D15" s="6" t="s">
        <v>80</v>
      </c>
      <c r="E15" s="6" t="s">
        <v>124</v>
      </c>
      <c r="F15" s="6" t="s">
        <v>125</v>
      </c>
      <c r="G15" s="6" t="s">
        <v>126</v>
      </c>
      <c r="H15" s="6"/>
      <c r="I15" s="16" t="s">
        <v>734</v>
      </c>
      <c r="J15" s="6" t="s">
        <v>59</v>
      </c>
      <c r="K15" s="6" t="s">
        <v>95</v>
      </c>
      <c r="L15" s="6" t="s">
        <v>4</v>
      </c>
    </row>
    <row r="16" spans="1:12" ht="42" customHeight="1" x14ac:dyDescent="0.3">
      <c r="A16" s="6" t="s">
        <v>127</v>
      </c>
      <c r="B16" s="6" t="s">
        <v>44</v>
      </c>
      <c r="C16" s="6" t="s">
        <v>128</v>
      </c>
      <c r="D16" s="6" t="s">
        <v>80</v>
      </c>
      <c r="E16" s="6" t="s">
        <v>129</v>
      </c>
      <c r="F16" s="6" t="s">
        <v>130</v>
      </c>
      <c r="G16" s="6" t="s">
        <v>131</v>
      </c>
      <c r="H16" s="6"/>
      <c r="I16" s="16" t="s">
        <v>734</v>
      </c>
      <c r="J16" s="6" t="s">
        <v>77</v>
      </c>
      <c r="K16" s="6" t="s">
        <v>60</v>
      </c>
      <c r="L16" s="6" t="s">
        <v>4</v>
      </c>
    </row>
    <row r="17" spans="1:12" ht="42" customHeight="1" x14ac:dyDescent="0.3">
      <c r="A17" s="6" t="s">
        <v>132</v>
      </c>
      <c r="B17" s="6" t="s">
        <v>44</v>
      </c>
      <c r="C17" s="6" t="s">
        <v>133</v>
      </c>
      <c r="D17" s="6" t="s">
        <v>134</v>
      </c>
      <c r="E17" s="6" t="s">
        <v>135</v>
      </c>
      <c r="F17" s="6" t="s">
        <v>136</v>
      </c>
      <c r="G17" s="6" t="s">
        <v>137</v>
      </c>
      <c r="H17" s="6"/>
      <c r="I17" s="16" t="s">
        <v>739</v>
      </c>
      <c r="J17" s="6" t="s">
        <v>59</v>
      </c>
      <c r="K17" s="6" t="s">
        <v>95</v>
      </c>
      <c r="L17" s="6" t="s">
        <v>4</v>
      </c>
    </row>
    <row r="18" spans="1:12" ht="42" customHeight="1" x14ac:dyDescent="0.3">
      <c r="A18" s="6" t="s">
        <v>138</v>
      </c>
      <c r="B18" s="6" t="s">
        <v>139</v>
      </c>
      <c r="C18" s="6" t="s">
        <v>140</v>
      </c>
      <c r="D18" s="6" t="s">
        <v>141</v>
      </c>
      <c r="E18" s="6" t="s">
        <v>142</v>
      </c>
      <c r="F18" s="6" t="s">
        <v>143</v>
      </c>
      <c r="G18" s="6" t="s">
        <v>144</v>
      </c>
      <c r="H18" s="6"/>
      <c r="I18" s="16" t="s">
        <v>734</v>
      </c>
      <c r="J18" s="6" t="s">
        <v>51</v>
      </c>
      <c r="K18" s="6" t="s">
        <v>52</v>
      </c>
      <c r="L18" s="6" t="s">
        <v>4</v>
      </c>
    </row>
    <row r="19" spans="1:12" ht="42" customHeight="1" x14ac:dyDescent="0.3">
      <c r="A19" s="6" t="s">
        <v>145</v>
      </c>
      <c r="B19" s="6" t="s">
        <v>139</v>
      </c>
      <c r="C19" s="6" t="s">
        <v>146</v>
      </c>
      <c r="D19" s="6" t="s">
        <v>141</v>
      </c>
      <c r="E19" s="6" t="s">
        <v>147</v>
      </c>
      <c r="F19" s="6" t="s">
        <v>148</v>
      </c>
      <c r="G19" s="6" t="s">
        <v>149</v>
      </c>
      <c r="H19" s="17"/>
      <c r="I19" s="16" t="s">
        <v>734</v>
      </c>
      <c r="J19" s="6" t="s">
        <v>59</v>
      </c>
      <c r="K19" s="6" t="s">
        <v>60</v>
      </c>
      <c r="L19" s="6" t="s">
        <v>4</v>
      </c>
    </row>
    <row r="20" spans="1:12" ht="42" customHeight="1" x14ac:dyDescent="0.3">
      <c r="A20" s="6" t="s">
        <v>150</v>
      </c>
      <c r="B20" s="6" t="s">
        <v>139</v>
      </c>
      <c r="C20" s="6" t="s">
        <v>151</v>
      </c>
      <c r="D20" s="6" t="s">
        <v>152</v>
      </c>
      <c r="E20" s="6" t="s">
        <v>153</v>
      </c>
      <c r="F20" s="6" t="s">
        <v>154</v>
      </c>
      <c r="G20" s="6" t="s">
        <v>155</v>
      </c>
      <c r="H20" s="6"/>
      <c r="I20" s="16" t="s">
        <v>734</v>
      </c>
      <c r="J20" s="6" t="s">
        <v>51</v>
      </c>
      <c r="K20" s="6" t="s">
        <v>60</v>
      </c>
      <c r="L20" s="6" t="s">
        <v>4</v>
      </c>
    </row>
    <row r="21" spans="1:12" ht="42" customHeight="1" x14ac:dyDescent="0.3">
      <c r="A21" s="6" t="s">
        <v>156</v>
      </c>
      <c r="B21" s="6" t="s">
        <v>139</v>
      </c>
      <c r="C21" s="6" t="s">
        <v>157</v>
      </c>
      <c r="D21" s="6" t="s">
        <v>152</v>
      </c>
      <c r="E21" s="6" t="s">
        <v>158</v>
      </c>
      <c r="F21" s="6" t="s">
        <v>159</v>
      </c>
      <c r="G21" s="6" t="s">
        <v>160</v>
      </c>
      <c r="H21" s="6"/>
      <c r="I21" s="16" t="s">
        <v>739</v>
      </c>
      <c r="J21" s="6" t="s">
        <v>77</v>
      </c>
      <c r="K21" s="6" t="s">
        <v>66</v>
      </c>
      <c r="L21" s="6" t="s">
        <v>4</v>
      </c>
    </row>
    <row r="22" spans="1:12" ht="42" customHeight="1" x14ac:dyDescent="0.3">
      <c r="A22" s="6" t="s">
        <v>161</v>
      </c>
      <c r="B22" s="6" t="s">
        <v>139</v>
      </c>
      <c r="C22" s="6" t="s">
        <v>162</v>
      </c>
      <c r="D22" s="6" t="s">
        <v>152</v>
      </c>
      <c r="E22" s="6" t="s">
        <v>163</v>
      </c>
      <c r="F22" s="6" t="s">
        <v>164</v>
      </c>
      <c r="G22" s="6" t="s">
        <v>165</v>
      </c>
      <c r="H22" s="6"/>
      <c r="I22" s="16" t="s">
        <v>739</v>
      </c>
      <c r="J22" s="6" t="s">
        <v>51</v>
      </c>
      <c r="K22" s="6" t="s">
        <v>60</v>
      </c>
      <c r="L22" s="6" t="s">
        <v>4</v>
      </c>
    </row>
    <row r="23" spans="1:12" ht="42" customHeight="1" x14ac:dyDescent="0.3">
      <c r="A23" s="6" t="s">
        <v>166</v>
      </c>
      <c r="B23" s="6" t="s">
        <v>139</v>
      </c>
      <c r="C23" s="6" t="s">
        <v>167</v>
      </c>
      <c r="D23" s="6" t="s">
        <v>152</v>
      </c>
      <c r="E23" s="6" t="s">
        <v>168</v>
      </c>
      <c r="F23" s="6" t="s">
        <v>169</v>
      </c>
      <c r="G23" s="6" t="s">
        <v>170</v>
      </c>
      <c r="H23" s="16" t="s">
        <v>741</v>
      </c>
      <c r="I23" s="16" t="s">
        <v>740</v>
      </c>
      <c r="J23" s="6" t="s">
        <v>59</v>
      </c>
      <c r="K23" s="6" t="s">
        <v>95</v>
      </c>
      <c r="L23" s="6" t="s">
        <v>4</v>
      </c>
    </row>
    <row r="24" spans="1:12" ht="42" customHeight="1" x14ac:dyDescent="0.3">
      <c r="A24" s="6" t="s">
        <v>171</v>
      </c>
      <c r="B24" s="6" t="s">
        <v>139</v>
      </c>
      <c r="C24" s="6" t="s">
        <v>172</v>
      </c>
      <c r="D24" s="6" t="s">
        <v>173</v>
      </c>
      <c r="E24" s="6" t="s">
        <v>174</v>
      </c>
      <c r="F24" s="18" t="s">
        <v>175</v>
      </c>
      <c r="G24" s="6" t="s">
        <v>176</v>
      </c>
      <c r="H24" s="16" t="s">
        <v>742</v>
      </c>
      <c r="I24" s="16" t="s">
        <v>735</v>
      </c>
      <c r="J24" s="6" t="s">
        <v>51</v>
      </c>
      <c r="K24" s="6" t="s">
        <v>52</v>
      </c>
      <c r="L24" s="6" t="s">
        <v>4</v>
      </c>
    </row>
    <row r="25" spans="1:12" ht="42" customHeight="1" x14ac:dyDescent="0.3">
      <c r="A25" s="6" t="s">
        <v>177</v>
      </c>
      <c r="B25" s="6" t="s">
        <v>139</v>
      </c>
      <c r="C25" s="6" t="s">
        <v>178</v>
      </c>
      <c r="D25" s="6" t="s">
        <v>152</v>
      </c>
      <c r="E25" s="6" t="s">
        <v>179</v>
      </c>
      <c r="F25" s="16" t="s">
        <v>180</v>
      </c>
      <c r="G25" s="6" t="s">
        <v>181</v>
      </c>
      <c r="H25" s="6"/>
      <c r="I25" s="16" t="s">
        <v>739</v>
      </c>
      <c r="J25" s="6" t="s">
        <v>59</v>
      </c>
      <c r="K25" s="6" t="s">
        <v>182</v>
      </c>
      <c r="L25" s="6" t="s">
        <v>4</v>
      </c>
    </row>
    <row r="26" spans="1:12" ht="42" customHeight="1" x14ac:dyDescent="0.3">
      <c r="A26" s="6" t="s">
        <v>183</v>
      </c>
      <c r="B26" s="6" t="s">
        <v>139</v>
      </c>
      <c r="C26" s="6" t="s">
        <v>184</v>
      </c>
      <c r="D26" s="6" t="s">
        <v>185</v>
      </c>
      <c r="E26" s="6" t="s">
        <v>186</v>
      </c>
      <c r="F26" s="6" t="s">
        <v>136</v>
      </c>
      <c r="G26" s="6" t="s">
        <v>187</v>
      </c>
      <c r="H26" s="6"/>
      <c r="I26" s="16" t="s">
        <v>739</v>
      </c>
      <c r="J26" s="6" t="s">
        <v>77</v>
      </c>
      <c r="K26" s="6" t="s">
        <v>95</v>
      </c>
      <c r="L26" s="6" t="s">
        <v>4</v>
      </c>
    </row>
    <row r="27" spans="1:12" ht="42" customHeight="1" x14ac:dyDescent="0.3">
      <c r="A27" s="6" t="s">
        <v>188</v>
      </c>
      <c r="B27" s="6" t="s">
        <v>139</v>
      </c>
      <c r="C27" s="6" t="s">
        <v>189</v>
      </c>
      <c r="D27" s="6" t="s">
        <v>190</v>
      </c>
      <c r="E27" s="6" t="s">
        <v>191</v>
      </c>
      <c r="F27" s="6" t="s">
        <v>136</v>
      </c>
      <c r="G27" s="6" t="s">
        <v>192</v>
      </c>
      <c r="H27" s="6" t="s">
        <v>743</v>
      </c>
      <c r="I27" s="6" t="s">
        <v>737</v>
      </c>
      <c r="J27" s="6" t="s">
        <v>59</v>
      </c>
      <c r="K27" s="6" t="s">
        <v>60</v>
      </c>
      <c r="L27" s="6" t="s">
        <v>4</v>
      </c>
    </row>
    <row r="28" spans="1:12" ht="42" customHeight="1" x14ac:dyDescent="0.3">
      <c r="A28" s="6" t="s">
        <v>193</v>
      </c>
      <c r="B28" s="6" t="s">
        <v>139</v>
      </c>
      <c r="C28" s="6" t="s">
        <v>194</v>
      </c>
      <c r="D28" s="6" t="s">
        <v>152</v>
      </c>
      <c r="E28" s="6" t="s">
        <v>195</v>
      </c>
      <c r="F28" s="6" t="s">
        <v>196</v>
      </c>
      <c r="G28" s="6" t="s">
        <v>197</v>
      </c>
      <c r="H28" t="s">
        <v>744</v>
      </c>
      <c r="I28" s="6" t="s">
        <v>735</v>
      </c>
      <c r="J28" s="6" t="s">
        <v>51</v>
      </c>
      <c r="K28" s="6" t="s">
        <v>84</v>
      </c>
      <c r="L28" s="6" t="s">
        <v>4</v>
      </c>
    </row>
    <row r="29" spans="1:12" ht="42" customHeight="1" x14ac:dyDescent="0.3">
      <c r="A29" s="6" t="s">
        <v>198</v>
      </c>
      <c r="B29" s="6" t="s">
        <v>139</v>
      </c>
      <c r="C29" s="6" t="s">
        <v>199</v>
      </c>
      <c r="D29" s="6" t="s">
        <v>152</v>
      </c>
      <c r="E29" s="6" t="s">
        <v>200</v>
      </c>
      <c r="F29" s="6" t="s">
        <v>136</v>
      </c>
      <c r="G29" s="6" t="s">
        <v>201</v>
      </c>
      <c r="H29" s="6"/>
      <c r="I29" s="6" t="s">
        <v>50</v>
      </c>
      <c r="J29" s="6" t="s">
        <v>59</v>
      </c>
      <c r="K29" s="6" t="s">
        <v>95</v>
      </c>
      <c r="L29" s="6" t="s">
        <v>4</v>
      </c>
    </row>
    <row r="30" spans="1:12" ht="42" customHeight="1" x14ac:dyDescent="0.3">
      <c r="A30" s="6" t="s">
        <v>202</v>
      </c>
      <c r="B30" s="6" t="s">
        <v>139</v>
      </c>
      <c r="C30" s="6" t="s">
        <v>203</v>
      </c>
      <c r="D30" s="6" t="s">
        <v>152</v>
      </c>
      <c r="E30" s="6" t="s">
        <v>204</v>
      </c>
      <c r="F30" s="6" t="s">
        <v>205</v>
      </c>
      <c r="G30" s="6" t="s">
        <v>206</v>
      </c>
      <c r="H30" s="6" t="s">
        <v>745</v>
      </c>
      <c r="I30" s="6" t="s">
        <v>735</v>
      </c>
      <c r="J30" s="6" t="s">
        <v>51</v>
      </c>
      <c r="K30" s="6" t="s">
        <v>60</v>
      </c>
      <c r="L30" s="6" t="s">
        <v>4</v>
      </c>
    </row>
    <row r="31" spans="1:12" ht="42" customHeight="1" x14ac:dyDescent="0.3">
      <c r="A31" s="6" t="s">
        <v>207</v>
      </c>
      <c r="B31" s="6" t="s">
        <v>139</v>
      </c>
      <c r="C31" s="6" t="s">
        <v>208</v>
      </c>
      <c r="D31" s="6" t="s">
        <v>152</v>
      </c>
      <c r="E31" s="6" t="s">
        <v>209</v>
      </c>
      <c r="F31" s="6" t="s">
        <v>136</v>
      </c>
      <c r="G31" s="6" t="s">
        <v>210</v>
      </c>
      <c r="H31" s="6" t="s">
        <v>746</v>
      </c>
      <c r="I31" s="6" t="s">
        <v>737</v>
      </c>
      <c r="J31" s="6" t="s">
        <v>77</v>
      </c>
      <c r="K31" s="6" t="s">
        <v>95</v>
      </c>
      <c r="L31" s="6" t="s">
        <v>4</v>
      </c>
    </row>
    <row r="32" spans="1:12" ht="42" customHeight="1" x14ac:dyDescent="0.3">
      <c r="A32" s="6" t="s">
        <v>211</v>
      </c>
      <c r="B32" s="6" t="s">
        <v>212</v>
      </c>
      <c r="C32" s="6" t="s">
        <v>213</v>
      </c>
      <c r="D32" s="6" t="s">
        <v>214</v>
      </c>
      <c r="E32" s="6" t="s">
        <v>215</v>
      </c>
      <c r="F32" s="6" t="s">
        <v>216</v>
      </c>
      <c r="G32" s="6" t="s">
        <v>217</v>
      </c>
      <c r="H32" s="6"/>
      <c r="I32" s="6" t="s">
        <v>739</v>
      </c>
      <c r="J32" s="6" t="s">
        <v>51</v>
      </c>
      <c r="K32" s="6" t="s">
        <v>52</v>
      </c>
      <c r="L32" s="6" t="s">
        <v>4</v>
      </c>
    </row>
    <row r="33" spans="1:12" ht="42" customHeight="1" x14ac:dyDescent="0.3">
      <c r="A33" s="6" t="s">
        <v>218</v>
      </c>
      <c r="B33" s="6" t="s">
        <v>212</v>
      </c>
      <c r="C33" s="6" t="s">
        <v>219</v>
      </c>
      <c r="D33" s="6" t="s">
        <v>214</v>
      </c>
      <c r="E33" s="6" t="s">
        <v>220</v>
      </c>
      <c r="F33" s="6" t="s">
        <v>221</v>
      </c>
      <c r="G33" s="6" t="s">
        <v>222</v>
      </c>
      <c r="H33" s="6"/>
      <c r="I33" s="6" t="s">
        <v>739</v>
      </c>
      <c r="J33" s="6" t="s">
        <v>59</v>
      </c>
      <c r="K33" s="6" t="s">
        <v>52</v>
      </c>
      <c r="L33" s="6" t="s">
        <v>4</v>
      </c>
    </row>
    <row r="34" spans="1:12" ht="42" customHeight="1" x14ac:dyDescent="0.3">
      <c r="A34" s="6" t="s">
        <v>223</v>
      </c>
      <c r="B34" s="6" t="s">
        <v>212</v>
      </c>
      <c r="C34" s="6" t="s">
        <v>224</v>
      </c>
      <c r="D34" s="6" t="s">
        <v>214</v>
      </c>
      <c r="E34" s="6" t="s">
        <v>225</v>
      </c>
      <c r="F34" s="6" t="s">
        <v>226</v>
      </c>
      <c r="G34" s="6" t="s">
        <v>227</v>
      </c>
      <c r="H34" s="6"/>
      <c r="I34" s="6" t="s">
        <v>739</v>
      </c>
      <c r="J34" s="6" t="s">
        <v>51</v>
      </c>
      <c r="K34" s="6" t="s">
        <v>60</v>
      </c>
      <c r="L34" s="6" t="s">
        <v>4</v>
      </c>
    </row>
    <row r="35" spans="1:12" ht="42" customHeight="1" x14ac:dyDescent="0.3">
      <c r="A35" s="6" t="s">
        <v>228</v>
      </c>
      <c r="B35" s="6" t="s">
        <v>212</v>
      </c>
      <c r="C35" s="6" t="s">
        <v>229</v>
      </c>
      <c r="D35" s="6" t="s">
        <v>214</v>
      </c>
      <c r="E35" s="6" t="s">
        <v>230</v>
      </c>
      <c r="F35" s="6" t="s">
        <v>231</v>
      </c>
      <c r="G35" s="6" t="s">
        <v>232</v>
      </c>
      <c r="H35" s="6"/>
      <c r="I35" s="6" t="s">
        <v>734</v>
      </c>
      <c r="J35" s="6" t="s">
        <v>59</v>
      </c>
      <c r="K35" s="6" t="s">
        <v>66</v>
      </c>
      <c r="L35" s="6" t="s">
        <v>4</v>
      </c>
    </row>
    <row r="36" spans="1:12" ht="42" customHeight="1" x14ac:dyDescent="0.3">
      <c r="A36" s="6" t="s">
        <v>233</v>
      </c>
      <c r="B36" s="6" t="s">
        <v>212</v>
      </c>
      <c r="C36" s="6" t="s">
        <v>234</v>
      </c>
      <c r="D36" s="6" t="s">
        <v>214</v>
      </c>
      <c r="E36" s="6" t="s">
        <v>235</v>
      </c>
      <c r="F36" s="6" t="s">
        <v>236</v>
      </c>
      <c r="G36" s="6" t="s">
        <v>237</v>
      </c>
      <c r="H36" s="6"/>
      <c r="I36" s="6" t="s">
        <v>734</v>
      </c>
      <c r="J36" s="6" t="s">
        <v>77</v>
      </c>
      <c r="K36" s="6" t="s">
        <v>60</v>
      </c>
      <c r="L36" s="6" t="s">
        <v>4</v>
      </c>
    </row>
    <row r="37" spans="1:12" ht="42" customHeight="1" x14ac:dyDescent="0.3">
      <c r="A37" s="6" t="s">
        <v>238</v>
      </c>
      <c r="B37" s="6" t="s">
        <v>212</v>
      </c>
      <c r="C37" s="6" t="s">
        <v>239</v>
      </c>
      <c r="D37" s="6" t="s">
        <v>214</v>
      </c>
      <c r="E37" s="6" t="s">
        <v>240</v>
      </c>
      <c r="F37" s="6" t="s">
        <v>241</v>
      </c>
      <c r="G37" s="6" t="s">
        <v>242</v>
      </c>
      <c r="H37" s="6" t="s">
        <v>747</v>
      </c>
      <c r="I37" s="6" t="s">
        <v>737</v>
      </c>
      <c r="J37" s="6" t="s">
        <v>59</v>
      </c>
      <c r="K37" s="6" t="s">
        <v>84</v>
      </c>
      <c r="L37" s="6" t="s">
        <v>4</v>
      </c>
    </row>
    <row r="38" spans="1:12" ht="42" customHeight="1" x14ac:dyDescent="0.3">
      <c r="A38" s="6" t="s">
        <v>243</v>
      </c>
      <c r="B38" s="6" t="s">
        <v>212</v>
      </c>
      <c r="C38" s="6" t="s">
        <v>244</v>
      </c>
      <c r="D38" s="6" t="s">
        <v>214</v>
      </c>
      <c r="E38" s="6" t="s">
        <v>245</v>
      </c>
      <c r="F38" s="6" t="s">
        <v>246</v>
      </c>
      <c r="G38" s="6" t="s">
        <v>247</v>
      </c>
      <c r="H38" s="6"/>
      <c r="I38" s="6" t="s">
        <v>734</v>
      </c>
      <c r="J38" s="6" t="s">
        <v>51</v>
      </c>
      <c r="K38" s="6" t="s">
        <v>52</v>
      </c>
      <c r="L38" s="6" t="s">
        <v>4</v>
      </c>
    </row>
    <row r="39" spans="1:12" ht="42" customHeight="1" x14ac:dyDescent="0.3">
      <c r="A39" s="6" t="s">
        <v>248</v>
      </c>
      <c r="B39" s="6" t="s">
        <v>212</v>
      </c>
      <c r="C39" s="6" t="s">
        <v>249</v>
      </c>
      <c r="D39" s="6" t="s">
        <v>250</v>
      </c>
      <c r="E39" s="6" t="s">
        <v>251</v>
      </c>
      <c r="F39" s="6" t="s">
        <v>136</v>
      </c>
      <c r="G39" s="6" t="s">
        <v>252</v>
      </c>
      <c r="H39" s="6"/>
      <c r="I39" s="6" t="s">
        <v>50</v>
      </c>
      <c r="J39" s="6" t="s">
        <v>59</v>
      </c>
      <c r="K39" s="6" t="s">
        <v>95</v>
      </c>
      <c r="L39" s="6" t="s">
        <v>4</v>
      </c>
    </row>
    <row r="40" spans="1:12" ht="42" customHeight="1" x14ac:dyDescent="0.3">
      <c r="A40" s="6" t="s">
        <v>253</v>
      </c>
      <c r="B40" s="6" t="s">
        <v>212</v>
      </c>
      <c r="C40" s="6" t="s">
        <v>254</v>
      </c>
      <c r="D40" s="6" t="s">
        <v>255</v>
      </c>
      <c r="E40" s="6" t="s">
        <v>256</v>
      </c>
      <c r="F40" s="6" t="s">
        <v>257</v>
      </c>
      <c r="G40" s="6" t="s">
        <v>258</v>
      </c>
      <c r="H40" s="6"/>
      <c r="I40" s="6" t="s">
        <v>739</v>
      </c>
      <c r="J40" s="6" t="s">
        <v>51</v>
      </c>
      <c r="K40" s="6" t="s">
        <v>95</v>
      </c>
      <c r="L40" s="6" t="s">
        <v>4</v>
      </c>
    </row>
    <row r="41" spans="1:12" ht="42" customHeight="1" x14ac:dyDescent="0.3">
      <c r="A41" s="6" t="s">
        <v>259</v>
      </c>
      <c r="B41" s="6" t="s">
        <v>212</v>
      </c>
      <c r="C41" s="6" t="s">
        <v>260</v>
      </c>
      <c r="D41" s="6" t="s">
        <v>214</v>
      </c>
      <c r="E41" s="6" t="s">
        <v>261</v>
      </c>
      <c r="F41" s="6" t="s">
        <v>262</v>
      </c>
      <c r="G41" s="6" t="s">
        <v>263</v>
      </c>
      <c r="H41" s="6"/>
      <c r="I41" s="6" t="s">
        <v>739</v>
      </c>
      <c r="J41" s="6" t="s">
        <v>77</v>
      </c>
      <c r="K41" s="6" t="s">
        <v>60</v>
      </c>
      <c r="L41" s="6" t="s">
        <v>4</v>
      </c>
    </row>
    <row r="42" spans="1:12" ht="42" customHeight="1" x14ac:dyDescent="0.3">
      <c r="A42" s="6" t="s">
        <v>264</v>
      </c>
      <c r="B42" s="6" t="s">
        <v>265</v>
      </c>
      <c r="C42" s="6" t="s">
        <v>266</v>
      </c>
      <c r="D42" s="6" t="s">
        <v>267</v>
      </c>
      <c r="E42" s="6" t="s">
        <v>268</v>
      </c>
      <c r="F42" s="6" t="s">
        <v>136</v>
      </c>
      <c r="G42" s="6" t="s">
        <v>269</v>
      </c>
      <c r="H42" s="6"/>
      <c r="I42" s="6" t="s">
        <v>734</v>
      </c>
      <c r="J42" s="6" t="s">
        <v>51</v>
      </c>
      <c r="K42" s="6" t="s">
        <v>95</v>
      </c>
      <c r="L42" s="6" t="s">
        <v>4</v>
      </c>
    </row>
    <row r="43" spans="1:12" ht="42" customHeight="1" x14ac:dyDescent="0.3">
      <c r="A43" s="6" t="s">
        <v>270</v>
      </c>
      <c r="B43" s="6" t="s">
        <v>265</v>
      </c>
      <c r="C43" s="6" t="s">
        <v>271</v>
      </c>
      <c r="D43" s="6" t="s">
        <v>272</v>
      </c>
      <c r="E43" s="6" t="s">
        <v>273</v>
      </c>
      <c r="F43" s="6" t="s">
        <v>274</v>
      </c>
      <c r="G43" s="6" t="s">
        <v>275</v>
      </c>
      <c r="H43" s="6"/>
      <c r="I43" s="6" t="s">
        <v>734</v>
      </c>
      <c r="J43" s="6" t="s">
        <v>59</v>
      </c>
      <c r="K43" s="6" t="s">
        <v>84</v>
      </c>
      <c r="L43" s="6" t="s">
        <v>4</v>
      </c>
    </row>
    <row r="44" spans="1:12" ht="42" customHeight="1" x14ac:dyDescent="0.3">
      <c r="A44" s="6" t="s">
        <v>276</v>
      </c>
      <c r="B44" s="6" t="s">
        <v>265</v>
      </c>
      <c r="C44" s="6" t="s">
        <v>277</v>
      </c>
      <c r="D44" s="6" t="s">
        <v>272</v>
      </c>
      <c r="E44" s="6" t="s">
        <v>278</v>
      </c>
      <c r="F44" s="6" t="s">
        <v>279</v>
      </c>
      <c r="G44" s="6" t="s">
        <v>280</v>
      </c>
      <c r="H44" s="6" t="s">
        <v>748</v>
      </c>
      <c r="I44" s="6" t="s">
        <v>735</v>
      </c>
      <c r="J44" s="6" t="s">
        <v>51</v>
      </c>
      <c r="K44" s="6" t="s">
        <v>84</v>
      </c>
      <c r="L44" s="6" t="s">
        <v>4</v>
      </c>
    </row>
    <row r="45" spans="1:12" ht="42" customHeight="1" x14ac:dyDescent="0.3">
      <c r="A45" s="6" t="s">
        <v>281</v>
      </c>
      <c r="B45" s="6" t="s">
        <v>265</v>
      </c>
      <c r="C45" s="6" t="s">
        <v>282</v>
      </c>
      <c r="D45" s="6" t="s">
        <v>272</v>
      </c>
      <c r="E45" s="6" t="s">
        <v>283</v>
      </c>
      <c r="F45" s="6" t="s">
        <v>284</v>
      </c>
      <c r="G45" s="6" t="s">
        <v>285</v>
      </c>
      <c r="H45" s="6" t="s">
        <v>749</v>
      </c>
      <c r="I45" s="6" t="s">
        <v>735</v>
      </c>
      <c r="J45" s="6" t="s">
        <v>59</v>
      </c>
      <c r="K45" s="6" t="s">
        <v>60</v>
      </c>
      <c r="L45" s="6" t="s">
        <v>4</v>
      </c>
    </row>
    <row r="46" spans="1:12" ht="42" customHeight="1" x14ac:dyDescent="0.3">
      <c r="A46" s="6" t="s">
        <v>286</v>
      </c>
      <c r="B46" s="6" t="s">
        <v>265</v>
      </c>
      <c r="C46" s="6" t="s">
        <v>287</v>
      </c>
      <c r="D46" s="6" t="s">
        <v>272</v>
      </c>
      <c r="E46" s="6" t="s">
        <v>288</v>
      </c>
      <c r="F46" s="6" t="s">
        <v>289</v>
      </c>
      <c r="G46" s="6" t="s">
        <v>290</v>
      </c>
      <c r="H46" s="6"/>
      <c r="I46" s="6" t="s">
        <v>739</v>
      </c>
      <c r="J46" s="6" t="s">
        <v>77</v>
      </c>
      <c r="K46" s="6" t="s">
        <v>60</v>
      </c>
      <c r="L46" s="6" t="s">
        <v>4</v>
      </c>
    </row>
    <row r="47" spans="1:12" ht="42" customHeight="1" x14ac:dyDescent="0.3">
      <c r="A47" s="6" t="s">
        <v>291</v>
      </c>
      <c r="B47" s="6" t="s">
        <v>265</v>
      </c>
      <c r="C47" s="6" t="s">
        <v>292</v>
      </c>
      <c r="D47" s="6" t="s">
        <v>272</v>
      </c>
      <c r="E47" s="6" t="s">
        <v>293</v>
      </c>
      <c r="F47" s="6" t="s">
        <v>294</v>
      </c>
      <c r="G47" s="6" t="s">
        <v>295</v>
      </c>
      <c r="H47" s="6"/>
      <c r="I47" s="6" t="s">
        <v>739</v>
      </c>
      <c r="J47" s="6" t="s">
        <v>59</v>
      </c>
      <c r="K47" s="6" t="s">
        <v>95</v>
      </c>
      <c r="L47" s="6" t="s">
        <v>4</v>
      </c>
    </row>
    <row r="48" spans="1:12" ht="42" customHeight="1" x14ac:dyDescent="0.3">
      <c r="A48" s="6" t="s">
        <v>296</v>
      </c>
      <c r="B48" s="6" t="s">
        <v>265</v>
      </c>
      <c r="C48" s="6" t="s">
        <v>297</v>
      </c>
      <c r="D48" s="6" t="s">
        <v>272</v>
      </c>
      <c r="E48" s="6" t="s">
        <v>298</v>
      </c>
      <c r="F48" s="6" t="s">
        <v>299</v>
      </c>
      <c r="G48" s="6" t="s">
        <v>300</v>
      </c>
      <c r="H48" s="6"/>
      <c r="I48" s="6" t="s">
        <v>739</v>
      </c>
      <c r="J48" s="6" t="s">
        <v>51</v>
      </c>
      <c r="K48" s="6" t="s">
        <v>60</v>
      </c>
      <c r="L48" s="6" t="s">
        <v>4</v>
      </c>
    </row>
    <row r="49" spans="1:12" ht="42" customHeight="1" x14ac:dyDescent="0.3">
      <c r="A49" s="6" t="s">
        <v>301</v>
      </c>
      <c r="B49" s="6" t="s">
        <v>265</v>
      </c>
      <c r="C49" s="6" t="s">
        <v>302</v>
      </c>
      <c r="D49" s="6" t="s">
        <v>272</v>
      </c>
      <c r="E49" s="6" t="s">
        <v>303</v>
      </c>
      <c r="F49" s="6" t="s">
        <v>304</v>
      </c>
      <c r="G49" s="6" t="s">
        <v>305</v>
      </c>
      <c r="H49" s="6"/>
      <c r="I49" s="6" t="s">
        <v>739</v>
      </c>
      <c r="J49" s="6" t="s">
        <v>59</v>
      </c>
      <c r="K49" s="6" t="s">
        <v>60</v>
      </c>
      <c r="L49" s="6" t="s">
        <v>4</v>
      </c>
    </row>
    <row r="50" spans="1:12" ht="42" customHeight="1" x14ac:dyDescent="0.3">
      <c r="A50" s="6" t="s">
        <v>306</v>
      </c>
      <c r="B50" s="6" t="s">
        <v>307</v>
      </c>
      <c r="C50" s="6" t="s">
        <v>308</v>
      </c>
      <c r="D50" s="6" t="s">
        <v>214</v>
      </c>
      <c r="E50" s="6" t="s">
        <v>309</v>
      </c>
      <c r="F50" s="6" t="s">
        <v>136</v>
      </c>
      <c r="G50" s="6" t="s">
        <v>310</v>
      </c>
      <c r="H50" s="6" t="s">
        <v>750</v>
      </c>
      <c r="I50" s="6" t="s">
        <v>735</v>
      </c>
      <c r="J50" s="6" t="s">
        <v>51</v>
      </c>
      <c r="K50" s="6" t="s">
        <v>95</v>
      </c>
      <c r="L50" s="6" t="s">
        <v>4</v>
      </c>
    </row>
    <row r="51" spans="1:12" ht="42" customHeight="1" x14ac:dyDescent="0.3">
      <c r="A51" s="6" t="s">
        <v>311</v>
      </c>
      <c r="B51" s="6" t="s">
        <v>307</v>
      </c>
      <c r="C51" s="6" t="s">
        <v>312</v>
      </c>
      <c r="D51" s="6" t="s">
        <v>214</v>
      </c>
      <c r="E51" s="6" t="s">
        <v>313</v>
      </c>
      <c r="F51" s="6" t="s">
        <v>314</v>
      </c>
      <c r="G51" s="6" t="s">
        <v>315</v>
      </c>
      <c r="H51" s="6"/>
      <c r="I51" s="6" t="s">
        <v>734</v>
      </c>
      <c r="J51" s="6" t="s">
        <v>77</v>
      </c>
      <c r="K51" s="6" t="s">
        <v>95</v>
      </c>
      <c r="L51" s="6" t="s">
        <v>4</v>
      </c>
    </row>
    <row r="52" spans="1:12" ht="42" customHeight="1" x14ac:dyDescent="0.3">
      <c r="A52" s="6" t="s">
        <v>316</v>
      </c>
      <c r="B52" s="6" t="s">
        <v>307</v>
      </c>
      <c r="C52" s="6" t="s">
        <v>317</v>
      </c>
      <c r="D52" s="6" t="s">
        <v>318</v>
      </c>
      <c r="E52" s="6" t="s">
        <v>319</v>
      </c>
      <c r="F52" s="6" t="s">
        <v>320</v>
      </c>
      <c r="G52" s="6" t="s">
        <v>321</v>
      </c>
      <c r="H52" s="6"/>
      <c r="I52" s="6" t="s">
        <v>734</v>
      </c>
      <c r="J52" s="6" t="s">
        <v>51</v>
      </c>
      <c r="K52" s="6" t="s">
        <v>95</v>
      </c>
      <c r="L52" s="6" t="s">
        <v>4</v>
      </c>
    </row>
    <row r="53" spans="1:12" ht="42" customHeight="1" x14ac:dyDescent="0.3">
      <c r="A53" s="6" t="s">
        <v>322</v>
      </c>
      <c r="B53" s="6" t="s">
        <v>307</v>
      </c>
      <c r="C53" s="6" t="s">
        <v>323</v>
      </c>
      <c r="D53" s="6" t="s">
        <v>324</v>
      </c>
      <c r="E53" s="6" t="s">
        <v>325</v>
      </c>
      <c r="F53" s="6" t="s">
        <v>136</v>
      </c>
      <c r="G53" s="6" t="s">
        <v>326</v>
      </c>
      <c r="H53" s="6"/>
      <c r="I53" s="6" t="s">
        <v>734</v>
      </c>
      <c r="J53" s="6" t="s">
        <v>59</v>
      </c>
      <c r="K53" s="6" t="s">
        <v>95</v>
      </c>
      <c r="L53" s="6" t="s">
        <v>4</v>
      </c>
    </row>
    <row r="54" spans="1:12" ht="42" customHeight="1" x14ac:dyDescent="0.3">
      <c r="A54" s="6" t="s">
        <v>327</v>
      </c>
      <c r="B54" s="6" t="s">
        <v>307</v>
      </c>
      <c r="C54" s="6" t="s">
        <v>328</v>
      </c>
      <c r="D54" s="6" t="s">
        <v>329</v>
      </c>
      <c r="E54" s="6" t="s">
        <v>330</v>
      </c>
      <c r="F54" s="6" t="s">
        <v>136</v>
      </c>
      <c r="G54" s="6" t="s">
        <v>331</v>
      </c>
      <c r="H54" s="6"/>
      <c r="I54" s="6" t="s">
        <v>734</v>
      </c>
      <c r="J54" s="6" t="s">
        <v>51</v>
      </c>
      <c r="K54" s="6" t="s">
        <v>66</v>
      </c>
      <c r="L54" s="6" t="s">
        <v>4</v>
      </c>
    </row>
    <row r="55" spans="1:12" ht="42" customHeight="1" x14ac:dyDescent="0.3">
      <c r="A55" s="6" t="s">
        <v>332</v>
      </c>
      <c r="B55" s="6" t="s">
        <v>307</v>
      </c>
      <c r="C55" s="6" t="s">
        <v>333</v>
      </c>
      <c r="D55" s="6" t="s">
        <v>334</v>
      </c>
      <c r="E55" s="6" t="s">
        <v>335</v>
      </c>
      <c r="F55" s="6" t="s">
        <v>336</v>
      </c>
      <c r="G55" s="6" t="s">
        <v>337</v>
      </c>
      <c r="H55" s="6" t="s">
        <v>752</v>
      </c>
      <c r="I55" s="6" t="s">
        <v>751</v>
      </c>
      <c r="J55" s="6" t="s">
        <v>59</v>
      </c>
      <c r="K55" s="6" t="s">
        <v>95</v>
      </c>
      <c r="L55" s="6" t="s">
        <v>4</v>
      </c>
    </row>
    <row r="56" spans="1:12" ht="42" customHeight="1" x14ac:dyDescent="0.3">
      <c r="A56" s="6" t="s">
        <v>338</v>
      </c>
      <c r="B56" s="6" t="s">
        <v>307</v>
      </c>
      <c r="C56" s="6" t="s">
        <v>339</v>
      </c>
      <c r="D56" s="6" t="s">
        <v>334</v>
      </c>
      <c r="E56" s="6" t="s">
        <v>340</v>
      </c>
      <c r="F56" s="6" t="s">
        <v>279</v>
      </c>
      <c r="G56" s="6" t="s">
        <v>341</v>
      </c>
      <c r="H56" s="6" t="s">
        <v>753</v>
      </c>
      <c r="I56" s="6" t="s">
        <v>737</v>
      </c>
      <c r="J56" s="6" t="s">
        <v>77</v>
      </c>
      <c r="K56" s="6" t="s">
        <v>84</v>
      </c>
      <c r="L56" s="6" t="s">
        <v>4</v>
      </c>
    </row>
    <row r="57" spans="1:12" ht="42" customHeight="1" x14ac:dyDescent="0.3">
      <c r="A57" s="6" t="s">
        <v>342</v>
      </c>
      <c r="B57" s="6" t="s">
        <v>307</v>
      </c>
      <c r="C57" s="6" t="s">
        <v>343</v>
      </c>
      <c r="D57" s="6" t="s">
        <v>344</v>
      </c>
      <c r="E57" s="6" t="s">
        <v>345</v>
      </c>
      <c r="F57" s="6" t="s">
        <v>136</v>
      </c>
      <c r="G57" s="6" t="s">
        <v>346</v>
      </c>
      <c r="H57" s="6"/>
      <c r="I57" s="6" t="s">
        <v>734</v>
      </c>
      <c r="J57" s="6" t="s">
        <v>59</v>
      </c>
      <c r="K57" s="6" t="s">
        <v>95</v>
      </c>
      <c r="L57" s="6" t="s">
        <v>4</v>
      </c>
    </row>
    <row r="58" spans="1:12" ht="42" customHeight="1" x14ac:dyDescent="0.3">
      <c r="A58" s="6" t="s">
        <v>347</v>
      </c>
      <c r="B58" s="6" t="s">
        <v>307</v>
      </c>
      <c r="C58" s="6" t="s">
        <v>348</v>
      </c>
      <c r="D58" s="6" t="s">
        <v>349</v>
      </c>
      <c r="E58" s="6" t="s">
        <v>350</v>
      </c>
      <c r="F58" s="6" t="s">
        <v>351</v>
      </c>
      <c r="G58" s="6" t="s">
        <v>352</v>
      </c>
      <c r="H58" s="16" t="s">
        <v>754</v>
      </c>
      <c r="I58" s="16" t="s">
        <v>734</v>
      </c>
      <c r="J58" s="6" t="s">
        <v>51</v>
      </c>
      <c r="K58" s="6" t="s">
        <v>95</v>
      </c>
      <c r="L58" s="6" t="s">
        <v>4</v>
      </c>
    </row>
    <row r="59" spans="1:12" ht="42" customHeight="1" x14ac:dyDescent="0.3">
      <c r="A59" s="6" t="s">
        <v>353</v>
      </c>
      <c r="B59" s="6" t="s">
        <v>307</v>
      </c>
      <c r="C59" s="6" t="s">
        <v>354</v>
      </c>
      <c r="D59" s="6" t="s">
        <v>355</v>
      </c>
      <c r="E59" s="6" t="s">
        <v>356</v>
      </c>
      <c r="F59" s="6" t="s">
        <v>136</v>
      </c>
      <c r="G59" s="6" t="s">
        <v>357</v>
      </c>
      <c r="H59" s="6"/>
      <c r="I59" s="6" t="s">
        <v>734</v>
      </c>
      <c r="J59" s="6" t="s">
        <v>59</v>
      </c>
      <c r="K59" s="6" t="s">
        <v>95</v>
      </c>
      <c r="L59" s="6" t="s">
        <v>4</v>
      </c>
    </row>
    <row r="60" spans="1:12" ht="42" customHeight="1" x14ac:dyDescent="0.3">
      <c r="A60" s="6" t="s">
        <v>358</v>
      </c>
      <c r="B60" s="6" t="s">
        <v>307</v>
      </c>
      <c r="C60" s="6" t="s">
        <v>359</v>
      </c>
      <c r="D60" s="6" t="s">
        <v>360</v>
      </c>
      <c r="E60" s="6" t="s">
        <v>361</v>
      </c>
      <c r="F60" s="6" t="s">
        <v>136</v>
      </c>
      <c r="G60" s="6" t="s">
        <v>362</v>
      </c>
      <c r="H60" s="6"/>
      <c r="I60" s="6" t="s">
        <v>734</v>
      </c>
      <c r="J60" s="6" t="s">
        <v>51</v>
      </c>
      <c r="K60" s="6" t="s">
        <v>60</v>
      </c>
      <c r="L60" s="6" t="s">
        <v>4</v>
      </c>
    </row>
    <row r="61" spans="1:12" ht="42" customHeight="1" x14ac:dyDescent="0.3">
      <c r="A61" s="6" t="s">
        <v>363</v>
      </c>
      <c r="B61" s="6" t="s">
        <v>307</v>
      </c>
      <c r="C61" s="6" t="s">
        <v>364</v>
      </c>
      <c r="D61" s="6" t="s">
        <v>365</v>
      </c>
      <c r="E61" s="6" t="s">
        <v>366</v>
      </c>
      <c r="F61" s="6" t="s">
        <v>136</v>
      </c>
      <c r="G61" s="6" t="s">
        <v>367</v>
      </c>
      <c r="H61" s="6"/>
      <c r="I61" s="6" t="s">
        <v>734</v>
      </c>
      <c r="J61" s="6" t="s">
        <v>77</v>
      </c>
      <c r="K61" s="6" t="s">
        <v>95</v>
      </c>
      <c r="L61" s="6" t="s">
        <v>4</v>
      </c>
    </row>
    <row r="62" spans="1:12" ht="42" customHeight="1" x14ac:dyDescent="0.3">
      <c r="A62" s="6" t="s">
        <v>368</v>
      </c>
      <c r="B62" s="6" t="s">
        <v>307</v>
      </c>
      <c r="C62" s="6" t="s">
        <v>369</v>
      </c>
      <c r="D62" s="6" t="s">
        <v>370</v>
      </c>
      <c r="E62" s="6" t="s">
        <v>371</v>
      </c>
      <c r="F62" s="6" t="s">
        <v>136</v>
      </c>
      <c r="G62" s="6" t="s">
        <v>372</v>
      </c>
      <c r="H62" s="6"/>
      <c r="I62" s="6" t="s">
        <v>734</v>
      </c>
      <c r="J62" s="6" t="s">
        <v>51</v>
      </c>
      <c r="K62" s="6" t="s">
        <v>95</v>
      </c>
      <c r="L62" s="6" t="s">
        <v>4</v>
      </c>
    </row>
    <row r="63" spans="1:12" ht="42" customHeight="1" x14ac:dyDescent="0.3">
      <c r="A63" s="6" t="s">
        <v>373</v>
      </c>
      <c r="B63" s="6" t="s">
        <v>307</v>
      </c>
      <c r="C63" s="6" t="s">
        <v>374</v>
      </c>
      <c r="D63" s="6" t="s">
        <v>375</v>
      </c>
      <c r="E63" s="6" t="s">
        <v>376</v>
      </c>
      <c r="F63" s="6" t="s">
        <v>136</v>
      </c>
      <c r="G63" s="6" t="s">
        <v>377</v>
      </c>
      <c r="H63" s="6"/>
      <c r="I63" s="6" t="s">
        <v>734</v>
      </c>
      <c r="J63" s="6" t="s">
        <v>59</v>
      </c>
      <c r="K63" s="6" t="s">
        <v>60</v>
      </c>
      <c r="L63" s="6" t="s">
        <v>4</v>
      </c>
    </row>
    <row r="64" spans="1:12" ht="42" customHeight="1" x14ac:dyDescent="0.3">
      <c r="A64" s="6" t="s">
        <v>378</v>
      </c>
      <c r="B64" s="6" t="s">
        <v>379</v>
      </c>
      <c r="C64" s="6" t="s">
        <v>380</v>
      </c>
      <c r="D64" s="6" t="s">
        <v>381</v>
      </c>
      <c r="E64" s="6" t="s">
        <v>382</v>
      </c>
      <c r="F64" s="6" t="s">
        <v>383</v>
      </c>
      <c r="G64" s="6" t="s">
        <v>384</v>
      </c>
      <c r="H64" s="6"/>
      <c r="I64" s="6" t="s">
        <v>734</v>
      </c>
      <c r="J64" s="6" t="s">
        <v>51</v>
      </c>
      <c r="K64" s="6" t="s">
        <v>95</v>
      </c>
      <c r="L64" s="6" t="s">
        <v>4</v>
      </c>
    </row>
    <row r="65" spans="1:12" ht="42" customHeight="1" x14ac:dyDescent="0.3">
      <c r="A65" s="6" t="s">
        <v>385</v>
      </c>
      <c r="B65" s="6" t="s">
        <v>379</v>
      </c>
      <c r="C65" s="6" t="s">
        <v>386</v>
      </c>
      <c r="D65" s="6" t="s">
        <v>381</v>
      </c>
      <c r="E65" s="6" t="s">
        <v>387</v>
      </c>
      <c r="F65" s="6" t="s">
        <v>383</v>
      </c>
      <c r="G65" s="6" t="s">
        <v>388</v>
      </c>
      <c r="H65" s="6"/>
      <c r="I65" s="6" t="s">
        <v>734</v>
      </c>
      <c r="J65" s="6" t="s">
        <v>59</v>
      </c>
      <c r="K65" s="6" t="s">
        <v>95</v>
      </c>
      <c r="L65" s="6" t="s">
        <v>4</v>
      </c>
    </row>
    <row r="66" spans="1:12" ht="42" customHeight="1" x14ac:dyDescent="0.3">
      <c r="A66" s="6" t="s">
        <v>389</v>
      </c>
      <c r="B66" s="6" t="s">
        <v>379</v>
      </c>
      <c r="C66" s="6" t="s">
        <v>390</v>
      </c>
      <c r="D66" s="6" t="s">
        <v>318</v>
      </c>
      <c r="E66" s="6" t="s">
        <v>391</v>
      </c>
      <c r="F66" s="6" t="s">
        <v>136</v>
      </c>
      <c r="G66" s="6" t="s">
        <v>392</v>
      </c>
      <c r="H66" s="6"/>
      <c r="I66" s="6" t="s">
        <v>734</v>
      </c>
      <c r="J66" s="6" t="s">
        <v>77</v>
      </c>
      <c r="K66" s="6" t="s">
        <v>95</v>
      </c>
      <c r="L66" s="6" t="s">
        <v>4</v>
      </c>
    </row>
    <row r="67" spans="1:12" ht="42" customHeight="1" x14ac:dyDescent="0.3">
      <c r="A67" s="6" t="s">
        <v>393</v>
      </c>
      <c r="B67" s="6" t="s">
        <v>379</v>
      </c>
      <c r="C67" s="6" t="s">
        <v>394</v>
      </c>
      <c r="D67" s="6" t="s">
        <v>395</v>
      </c>
      <c r="E67" s="6" t="s">
        <v>396</v>
      </c>
      <c r="F67" s="6" t="s">
        <v>397</v>
      </c>
      <c r="G67" s="6" t="s">
        <v>398</v>
      </c>
      <c r="H67" s="6"/>
      <c r="I67" s="6" t="s">
        <v>734</v>
      </c>
      <c r="J67" s="6" t="s">
        <v>59</v>
      </c>
      <c r="K67" s="6" t="s">
        <v>95</v>
      </c>
      <c r="L67" s="6" t="s">
        <v>4</v>
      </c>
    </row>
    <row r="68" spans="1:12" ht="42" customHeight="1" x14ac:dyDescent="0.3">
      <c r="A68" s="6" t="s">
        <v>399</v>
      </c>
      <c r="B68" s="6" t="s">
        <v>379</v>
      </c>
      <c r="C68" s="6" t="s">
        <v>400</v>
      </c>
      <c r="D68" s="6" t="s">
        <v>401</v>
      </c>
      <c r="E68" s="6" t="s">
        <v>402</v>
      </c>
      <c r="F68" s="6" t="s">
        <v>136</v>
      </c>
      <c r="G68" s="6" t="s">
        <v>403</v>
      </c>
      <c r="H68" s="6"/>
      <c r="I68" s="6" t="s">
        <v>734</v>
      </c>
      <c r="J68" s="6" t="s">
        <v>51</v>
      </c>
      <c r="K68" s="6" t="s">
        <v>60</v>
      </c>
      <c r="L68" s="6" t="s">
        <v>4</v>
      </c>
    </row>
    <row r="69" spans="1:12" ht="42" customHeight="1" x14ac:dyDescent="0.3">
      <c r="A69" s="6" t="s">
        <v>404</v>
      </c>
      <c r="B69" s="6" t="s">
        <v>379</v>
      </c>
      <c r="C69" s="6" t="s">
        <v>405</v>
      </c>
      <c r="D69" s="6" t="s">
        <v>406</v>
      </c>
      <c r="E69" s="6" t="s">
        <v>407</v>
      </c>
      <c r="F69" s="6" t="s">
        <v>136</v>
      </c>
      <c r="G69" s="6" t="s">
        <v>408</v>
      </c>
      <c r="H69" s="6"/>
      <c r="I69" s="6" t="s">
        <v>734</v>
      </c>
      <c r="J69" s="6" t="s">
        <v>59</v>
      </c>
      <c r="K69" s="6" t="s">
        <v>95</v>
      </c>
      <c r="L69" s="6" t="s">
        <v>4</v>
      </c>
    </row>
    <row r="70" spans="1:12" ht="42" customHeight="1" x14ac:dyDescent="0.3">
      <c r="A70" s="6" t="s">
        <v>409</v>
      </c>
      <c r="B70" s="6" t="s">
        <v>379</v>
      </c>
      <c r="C70" s="6" t="s">
        <v>410</v>
      </c>
      <c r="D70" s="6" t="s">
        <v>395</v>
      </c>
      <c r="E70" s="6" t="s">
        <v>411</v>
      </c>
      <c r="F70" s="6" t="s">
        <v>136</v>
      </c>
      <c r="G70" s="6" t="s">
        <v>412</v>
      </c>
      <c r="H70" s="6"/>
      <c r="I70" s="6" t="s">
        <v>734</v>
      </c>
      <c r="J70" s="6" t="s">
        <v>51</v>
      </c>
      <c r="K70" s="6" t="s">
        <v>95</v>
      </c>
      <c r="L70" s="6" t="s">
        <v>4</v>
      </c>
    </row>
    <row r="71" spans="1:12" ht="42" customHeight="1" x14ac:dyDescent="0.3">
      <c r="A71" s="6" t="s">
        <v>413</v>
      </c>
      <c r="B71" s="6" t="s">
        <v>379</v>
      </c>
      <c r="C71" s="6" t="s">
        <v>414</v>
      </c>
      <c r="D71" s="6" t="s">
        <v>415</v>
      </c>
      <c r="E71" s="6" t="s">
        <v>416</v>
      </c>
      <c r="F71" s="6" t="s">
        <v>417</v>
      </c>
      <c r="G71" s="6" t="s">
        <v>418</v>
      </c>
      <c r="H71" s="6"/>
      <c r="I71" s="6" t="s">
        <v>734</v>
      </c>
      <c r="J71" s="6" t="s">
        <v>77</v>
      </c>
      <c r="K71" s="6" t="s">
        <v>84</v>
      </c>
      <c r="L71" s="6" t="s">
        <v>4</v>
      </c>
    </row>
    <row r="72" spans="1:12" ht="42" customHeight="1" x14ac:dyDescent="0.3">
      <c r="A72" s="6" t="s">
        <v>419</v>
      </c>
      <c r="B72" s="6" t="s">
        <v>379</v>
      </c>
      <c r="C72" s="6" t="s">
        <v>420</v>
      </c>
      <c r="D72" s="6" t="s">
        <v>421</v>
      </c>
      <c r="E72" s="6" t="s">
        <v>422</v>
      </c>
      <c r="F72" s="6" t="s">
        <v>423</v>
      </c>
      <c r="G72" s="6" t="s">
        <v>424</v>
      </c>
      <c r="H72" s="6"/>
      <c r="I72" s="6" t="s">
        <v>734</v>
      </c>
      <c r="J72" s="6" t="s">
        <v>51</v>
      </c>
      <c r="K72" s="6" t="s">
        <v>84</v>
      </c>
      <c r="L72" s="6" t="s">
        <v>4</v>
      </c>
    </row>
    <row r="73" spans="1:12" ht="42" customHeight="1" x14ac:dyDescent="0.3">
      <c r="A73" s="6" t="s">
        <v>425</v>
      </c>
      <c r="B73" s="6" t="s">
        <v>379</v>
      </c>
      <c r="C73" s="6" t="s">
        <v>426</v>
      </c>
      <c r="D73" s="6" t="s">
        <v>395</v>
      </c>
      <c r="E73" s="6" t="s">
        <v>427</v>
      </c>
      <c r="F73" s="6" t="s">
        <v>136</v>
      </c>
      <c r="G73" s="6" t="s">
        <v>428</v>
      </c>
      <c r="H73" s="6"/>
      <c r="I73" s="6" t="s">
        <v>734</v>
      </c>
      <c r="J73" s="6" t="s">
        <v>59</v>
      </c>
      <c r="K73" s="6" t="s">
        <v>95</v>
      </c>
      <c r="L73" s="6" t="s">
        <v>4</v>
      </c>
    </row>
    <row r="74" spans="1:12" ht="42" customHeight="1" x14ac:dyDescent="0.3">
      <c r="A74" s="6" t="s">
        <v>429</v>
      </c>
      <c r="B74" s="6" t="s">
        <v>379</v>
      </c>
      <c r="C74" s="6" t="s">
        <v>430</v>
      </c>
      <c r="D74" s="6" t="s">
        <v>395</v>
      </c>
      <c r="E74" s="6" t="s">
        <v>431</v>
      </c>
      <c r="F74" s="6" t="s">
        <v>136</v>
      </c>
      <c r="G74" s="6" t="s">
        <v>432</v>
      </c>
      <c r="H74" s="6" t="s">
        <v>755</v>
      </c>
      <c r="I74" s="6" t="s">
        <v>740</v>
      </c>
      <c r="J74" s="6" t="s">
        <v>51</v>
      </c>
      <c r="K74" s="6" t="s">
        <v>95</v>
      </c>
      <c r="L74" s="6" t="s">
        <v>4</v>
      </c>
    </row>
    <row r="75" spans="1:12" ht="42" customHeight="1" x14ac:dyDescent="0.3">
      <c r="A75" s="6" t="s">
        <v>433</v>
      </c>
      <c r="B75" s="6" t="s">
        <v>379</v>
      </c>
      <c r="C75" s="6" t="s">
        <v>434</v>
      </c>
      <c r="D75" s="6" t="s">
        <v>395</v>
      </c>
      <c r="E75" s="6" t="s">
        <v>435</v>
      </c>
      <c r="F75" s="6" t="s">
        <v>436</v>
      </c>
      <c r="G75" s="6" t="s">
        <v>437</v>
      </c>
      <c r="H75" s="6"/>
      <c r="I75" s="6" t="s">
        <v>734</v>
      </c>
      <c r="J75" s="6" t="s">
        <v>59</v>
      </c>
      <c r="K75" s="6" t="s">
        <v>182</v>
      </c>
      <c r="L75" s="6" t="s">
        <v>4</v>
      </c>
    </row>
    <row r="76" spans="1:12" ht="42" customHeight="1" x14ac:dyDescent="0.3">
      <c r="A76" s="6" t="s">
        <v>438</v>
      </c>
      <c r="B76" s="6" t="s">
        <v>439</v>
      </c>
      <c r="C76" s="6" t="s">
        <v>440</v>
      </c>
      <c r="D76" s="6" t="s">
        <v>441</v>
      </c>
      <c r="E76" s="6" t="s">
        <v>442</v>
      </c>
      <c r="F76" s="6" t="s">
        <v>443</v>
      </c>
      <c r="G76" s="6" t="s">
        <v>444</v>
      </c>
      <c r="H76" s="6"/>
      <c r="I76" s="6" t="s">
        <v>734</v>
      </c>
      <c r="J76" s="6" t="s">
        <v>77</v>
      </c>
      <c r="K76" s="6" t="s">
        <v>52</v>
      </c>
      <c r="L76" s="6" t="s">
        <v>4</v>
      </c>
    </row>
    <row r="77" spans="1:12" ht="42" customHeight="1" x14ac:dyDescent="0.3">
      <c r="A77" s="6" t="s">
        <v>445</v>
      </c>
      <c r="B77" s="6" t="s">
        <v>439</v>
      </c>
      <c r="C77" s="6" t="s">
        <v>446</v>
      </c>
      <c r="D77" s="6" t="s">
        <v>447</v>
      </c>
      <c r="E77" s="6" t="s">
        <v>448</v>
      </c>
      <c r="F77" s="6" t="s">
        <v>64</v>
      </c>
      <c r="G77" s="6" t="s">
        <v>449</v>
      </c>
      <c r="H77" s="6"/>
      <c r="I77" s="6" t="s">
        <v>734</v>
      </c>
      <c r="J77" s="6" t="s">
        <v>59</v>
      </c>
      <c r="K77" s="6" t="s">
        <v>60</v>
      </c>
      <c r="L77" s="6" t="s">
        <v>4</v>
      </c>
    </row>
    <row r="78" spans="1:12" ht="42" customHeight="1" x14ac:dyDescent="0.3">
      <c r="A78" s="6" t="s">
        <v>450</v>
      </c>
      <c r="B78" s="6" t="s">
        <v>439</v>
      </c>
      <c r="C78" s="6" t="s">
        <v>451</v>
      </c>
      <c r="D78" s="6" t="s">
        <v>447</v>
      </c>
      <c r="E78" s="6" t="s">
        <v>452</v>
      </c>
      <c r="F78" s="6" t="s">
        <v>453</v>
      </c>
      <c r="G78" s="6" t="s">
        <v>454</v>
      </c>
      <c r="H78" s="6" t="s">
        <v>757</v>
      </c>
      <c r="I78" s="6" t="s">
        <v>737</v>
      </c>
      <c r="J78" s="6" t="s">
        <v>51</v>
      </c>
      <c r="K78" s="6" t="s">
        <v>60</v>
      </c>
      <c r="L78" s="6" t="s">
        <v>4</v>
      </c>
    </row>
    <row r="79" spans="1:12" ht="42" customHeight="1" x14ac:dyDescent="0.3">
      <c r="A79" s="6" t="s">
        <v>455</v>
      </c>
      <c r="B79" s="6" t="s">
        <v>439</v>
      </c>
      <c r="C79" s="6" t="s">
        <v>456</v>
      </c>
      <c r="D79" s="6" t="s">
        <v>447</v>
      </c>
      <c r="E79" s="6" t="s">
        <v>457</v>
      </c>
      <c r="F79" s="6" t="s">
        <v>458</v>
      </c>
      <c r="G79" s="6" t="s">
        <v>459</v>
      </c>
      <c r="H79" s="6" t="s">
        <v>756</v>
      </c>
      <c r="I79" s="6" t="s">
        <v>735</v>
      </c>
      <c r="J79" s="6" t="s">
        <v>59</v>
      </c>
      <c r="K79" s="6" t="s">
        <v>84</v>
      </c>
      <c r="L79" s="6" t="s">
        <v>4</v>
      </c>
    </row>
    <row r="80" spans="1:12" ht="42" customHeight="1" x14ac:dyDescent="0.3">
      <c r="A80" s="6" t="s">
        <v>460</v>
      </c>
      <c r="B80" s="6" t="s">
        <v>439</v>
      </c>
      <c r="C80" s="6" t="s">
        <v>461</v>
      </c>
      <c r="D80" s="6" t="s">
        <v>447</v>
      </c>
      <c r="E80" s="6" t="s">
        <v>462</v>
      </c>
      <c r="F80" s="6" t="s">
        <v>463</v>
      </c>
      <c r="G80" s="6" t="s">
        <v>464</v>
      </c>
      <c r="H80" s="6" t="s">
        <v>758</v>
      </c>
      <c r="I80" s="6" t="s">
        <v>737</v>
      </c>
      <c r="J80" s="6" t="s">
        <v>51</v>
      </c>
      <c r="K80" s="6" t="s">
        <v>60</v>
      </c>
      <c r="L80" s="6" t="s">
        <v>4</v>
      </c>
    </row>
    <row r="81" spans="1:12" ht="42" customHeight="1" x14ac:dyDescent="0.3">
      <c r="A81" s="6" t="s">
        <v>465</v>
      </c>
      <c r="B81" s="6" t="s">
        <v>439</v>
      </c>
      <c r="C81" s="6" t="s">
        <v>466</v>
      </c>
      <c r="D81" s="6" t="s">
        <v>447</v>
      </c>
      <c r="E81" s="6" t="s">
        <v>467</v>
      </c>
      <c r="F81" s="6" t="s">
        <v>468</v>
      </c>
      <c r="G81" s="6" t="s">
        <v>469</v>
      </c>
      <c r="H81" s="6" t="s">
        <v>758</v>
      </c>
      <c r="I81" s="6" t="s">
        <v>737</v>
      </c>
      <c r="J81" s="6" t="s">
        <v>77</v>
      </c>
      <c r="K81" s="6" t="s">
        <v>84</v>
      </c>
      <c r="L81" s="6" t="s">
        <v>4</v>
      </c>
    </row>
    <row r="82" spans="1:12" ht="42" customHeight="1" x14ac:dyDescent="0.3">
      <c r="A82" s="6" t="s">
        <v>470</v>
      </c>
      <c r="B82" s="6" t="s">
        <v>439</v>
      </c>
      <c r="C82" s="6" t="s">
        <v>471</v>
      </c>
      <c r="D82" s="6" t="s">
        <v>447</v>
      </c>
      <c r="E82" s="6" t="s">
        <v>472</v>
      </c>
      <c r="F82" s="6" t="s">
        <v>473</v>
      </c>
      <c r="G82" s="6" t="s">
        <v>474</v>
      </c>
      <c r="H82" s="6"/>
      <c r="I82" s="6" t="s">
        <v>734</v>
      </c>
      <c r="J82" s="6" t="s">
        <v>51</v>
      </c>
      <c r="K82" s="6" t="s">
        <v>60</v>
      </c>
      <c r="L82" s="6" t="s">
        <v>4</v>
      </c>
    </row>
    <row r="83" spans="1:12" ht="42" customHeight="1" x14ac:dyDescent="0.3">
      <c r="A83" s="6" t="s">
        <v>475</v>
      </c>
      <c r="B83" s="6" t="s">
        <v>439</v>
      </c>
      <c r="C83" s="6" t="s">
        <v>476</v>
      </c>
      <c r="D83" s="6" t="s">
        <v>447</v>
      </c>
      <c r="E83" s="6" t="s">
        <v>477</v>
      </c>
      <c r="F83" s="6" t="s">
        <v>136</v>
      </c>
      <c r="G83" s="6" t="s">
        <v>478</v>
      </c>
      <c r="H83" s="6"/>
      <c r="I83" s="6" t="s">
        <v>734</v>
      </c>
      <c r="J83" s="6" t="s">
        <v>59</v>
      </c>
      <c r="K83" s="6" t="s">
        <v>95</v>
      </c>
      <c r="L83" s="6" t="s">
        <v>4</v>
      </c>
    </row>
    <row r="84" spans="1:12" ht="42" customHeight="1" x14ac:dyDescent="0.3">
      <c r="A84" s="6" t="s">
        <v>479</v>
      </c>
      <c r="B84" s="6" t="s">
        <v>439</v>
      </c>
      <c r="C84" s="6" t="s">
        <v>480</v>
      </c>
      <c r="D84" s="6" t="s">
        <v>481</v>
      </c>
      <c r="E84" s="6" t="s">
        <v>482</v>
      </c>
      <c r="F84" s="6" t="s">
        <v>136</v>
      </c>
      <c r="G84" s="6" t="s">
        <v>483</v>
      </c>
      <c r="H84" s="6"/>
      <c r="I84" s="6" t="s">
        <v>734</v>
      </c>
      <c r="J84" s="6" t="s">
        <v>51</v>
      </c>
      <c r="K84" s="6" t="s">
        <v>95</v>
      </c>
      <c r="L84" s="6" t="s">
        <v>4</v>
      </c>
    </row>
    <row r="85" spans="1:12" ht="42" customHeight="1" x14ac:dyDescent="0.3">
      <c r="A85" s="6" t="s">
        <v>484</v>
      </c>
      <c r="B85" s="6" t="s">
        <v>439</v>
      </c>
      <c r="C85" s="6" t="s">
        <v>485</v>
      </c>
      <c r="D85" s="6" t="s">
        <v>486</v>
      </c>
      <c r="E85" s="6" t="s">
        <v>487</v>
      </c>
      <c r="F85" s="6" t="s">
        <v>136</v>
      </c>
      <c r="G85" s="6" t="s">
        <v>488</v>
      </c>
      <c r="H85" s="6"/>
      <c r="I85" s="6" t="s">
        <v>734</v>
      </c>
      <c r="J85" s="6" t="s">
        <v>59</v>
      </c>
      <c r="K85" s="6" t="s">
        <v>95</v>
      </c>
      <c r="L85" s="6" t="s">
        <v>4</v>
      </c>
    </row>
    <row r="86" spans="1:12" ht="42" customHeight="1" x14ac:dyDescent="0.3">
      <c r="A86" s="6" t="s">
        <v>489</v>
      </c>
      <c r="B86" s="6" t="s">
        <v>439</v>
      </c>
      <c r="C86" s="6" t="s">
        <v>490</v>
      </c>
      <c r="D86" s="6" t="s">
        <v>491</v>
      </c>
      <c r="E86" s="6" t="s">
        <v>492</v>
      </c>
      <c r="F86" s="6" t="s">
        <v>136</v>
      </c>
      <c r="G86" s="6" t="s">
        <v>493</v>
      </c>
      <c r="H86" s="6"/>
      <c r="I86" s="6" t="s">
        <v>734</v>
      </c>
      <c r="J86" s="6" t="s">
        <v>77</v>
      </c>
      <c r="K86" s="6" t="s">
        <v>95</v>
      </c>
      <c r="L86" s="6" t="s">
        <v>4</v>
      </c>
    </row>
    <row r="87" spans="1:12" ht="42" customHeight="1" x14ac:dyDescent="0.3">
      <c r="A87" s="6" t="s">
        <v>494</v>
      </c>
      <c r="B87" s="6" t="s">
        <v>439</v>
      </c>
      <c r="C87" s="6" t="s">
        <v>495</v>
      </c>
      <c r="D87" s="6" t="s">
        <v>447</v>
      </c>
      <c r="E87" s="6" t="s">
        <v>496</v>
      </c>
      <c r="F87" s="6" t="s">
        <v>497</v>
      </c>
      <c r="G87" s="6" t="s">
        <v>498</v>
      </c>
      <c r="H87" s="6" t="s">
        <v>759</v>
      </c>
      <c r="I87" s="6" t="s">
        <v>737</v>
      </c>
      <c r="J87" s="6" t="s">
        <v>59</v>
      </c>
      <c r="K87" s="6" t="s">
        <v>84</v>
      </c>
      <c r="L87" s="6" t="s">
        <v>4</v>
      </c>
    </row>
    <row r="88" spans="1:12" ht="42" customHeight="1" x14ac:dyDescent="0.3">
      <c r="A88" s="6" t="s">
        <v>499</v>
      </c>
      <c r="B88" s="6" t="s">
        <v>500</v>
      </c>
      <c r="C88" s="6" t="s">
        <v>501</v>
      </c>
      <c r="D88" s="6" t="s">
        <v>502</v>
      </c>
      <c r="E88" s="6" t="s">
        <v>503</v>
      </c>
      <c r="F88" s="6" t="s">
        <v>504</v>
      </c>
      <c r="G88" s="6" t="s">
        <v>505</v>
      </c>
      <c r="H88" s="6"/>
      <c r="I88" s="6" t="s">
        <v>734</v>
      </c>
      <c r="J88" s="6" t="s">
        <v>51</v>
      </c>
      <c r="K88" s="6" t="s">
        <v>95</v>
      </c>
      <c r="L88" s="6" t="s">
        <v>4</v>
      </c>
    </row>
    <row r="89" spans="1:12" ht="42" customHeight="1" x14ac:dyDescent="0.3">
      <c r="A89" s="6" t="s">
        <v>506</v>
      </c>
      <c r="B89" s="6" t="s">
        <v>500</v>
      </c>
      <c r="C89" s="6" t="s">
        <v>507</v>
      </c>
      <c r="D89" s="6" t="s">
        <v>508</v>
      </c>
      <c r="E89" s="6" t="s">
        <v>509</v>
      </c>
      <c r="F89" s="6" t="s">
        <v>64</v>
      </c>
      <c r="G89" s="6" t="s">
        <v>510</v>
      </c>
      <c r="H89" s="6"/>
      <c r="I89" s="6" t="s">
        <v>734</v>
      </c>
      <c r="J89" s="6" t="s">
        <v>59</v>
      </c>
      <c r="K89" s="6" t="s">
        <v>60</v>
      </c>
      <c r="L89" s="6" t="s">
        <v>4</v>
      </c>
    </row>
    <row r="90" spans="1:12" ht="42" customHeight="1" x14ac:dyDescent="0.3">
      <c r="A90" s="6" t="s">
        <v>511</v>
      </c>
      <c r="B90" s="6" t="s">
        <v>500</v>
      </c>
      <c r="C90" s="6" t="s">
        <v>512</v>
      </c>
      <c r="D90" s="6" t="s">
        <v>508</v>
      </c>
      <c r="E90" s="6" t="s">
        <v>513</v>
      </c>
      <c r="F90" s="6" t="s">
        <v>514</v>
      </c>
      <c r="G90" s="6" t="s">
        <v>305</v>
      </c>
      <c r="H90" s="6"/>
      <c r="I90" s="6" t="s">
        <v>734</v>
      </c>
      <c r="J90" s="6" t="s">
        <v>51</v>
      </c>
      <c r="K90" s="6" t="s">
        <v>60</v>
      </c>
      <c r="L90" s="6" t="s">
        <v>4</v>
      </c>
    </row>
    <row r="91" spans="1:12" ht="42" customHeight="1" x14ac:dyDescent="0.3">
      <c r="A91" s="6" t="s">
        <v>515</v>
      </c>
      <c r="B91" s="6" t="s">
        <v>500</v>
      </c>
      <c r="C91" s="6" t="s">
        <v>516</v>
      </c>
      <c r="D91" s="6" t="s">
        <v>508</v>
      </c>
      <c r="E91" s="6" t="s">
        <v>517</v>
      </c>
      <c r="F91" s="6" t="s">
        <v>518</v>
      </c>
      <c r="G91" s="6" t="s">
        <v>510</v>
      </c>
      <c r="H91" s="6" t="s">
        <v>760</v>
      </c>
      <c r="I91" s="6" t="s">
        <v>737</v>
      </c>
      <c r="J91" s="6" t="s">
        <v>77</v>
      </c>
      <c r="K91" s="6" t="s">
        <v>60</v>
      </c>
      <c r="L91" s="6" t="s">
        <v>4</v>
      </c>
    </row>
    <row r="92" spans="1:12" ht="42" customHeight="1" thickBot="1" x14ac:dyDescent="0.35">
      <c r="A92" s="6" t="s">
        <v>519</v>
      </c>
      <c r="B92" s="6" t="s">
        <v>500</v>
      </c>
      <c r="C92" s="6" t="s">
        <v>520</v>
      </c>
      <c r="D92" s="6" t="s">
        <v>508</v>
      </c>
      <c r="E92" s="6" t="s">
        <v>521</v>
      </c>
      <c r="F92" s="6" t="s">
        <v>522</v>
      </c>
      <c r="G92" s="6" t="s">
        <v>523</v>
      </c>
      <c r="H92" s="6"/>
      <c r="I92" s="6" t="s">
        <v>734</v>
      </c>
      <c r="J92" s="6" t="s">
        <v>51</v>
      </c>
      <c r="K92" s="6" t="s">
        <v>95</v>
      </c>
      <c r="L92" s="6" t="s">
        <v>4</v>
      </c>
    </row>
    <row r="93" spans="1:12" ht="42" customHeight="1" thickBot="1" x14ac:dyDescent="0.35">
      <c r="A93" s="6" t="s">
        <v>524</v>
      </c>
      <c r="B93" s="6" t="s">
        <v>500</v>
      </c>
      <c r="C93" s="6" t="s">
        <v>525</v>
      </c>
      <c r="D93" s="6" t="s">
        <v>508</v>
      </c>
      <c r="E93" s="6" t="s">
        <v>526</v>
      </c>
      <c r="F93" s="6" t="s">
        <v>527</v>
      </c>
      <c r="G93" s="6" t="s">
        <v>528</v>
      </c>
      <c r="H93" s="19" t="s">
        <v>762</v>
      </c>
      <c r="I93" s="6" t="s">
        <v>761</v>
      </c>
      <c r="J93" s="6" t="s">
        <v>59</v>
      </c>
      <c r="K93" s="6" t="s">
        <v>529</v>
      </c>
      <c r="L93" s="6" t="s">
        <v>4</v>
      </c>
    </row>
    <row r="94" spans="1:12" ht="42" customHeight="1" thickBot="1" x14ac:dyDescent="0.35">
      <c r="A94" s="6" t="s">
        <v>530</v>
      </c>
      <c r="B94" s="6" t="s">
        <v>500</v>
      </c>
      <c r="C94" s="6" t="s">
        <v>531</v>
      </c>
      <c r="D94" s="6" t="s">
        <v>532</v>
      </c>
      <c r="E94" s="6" t="s">
        <v>533</v>
      </c>
      <c r="F94" s="6" t="s">
        <v>136</v>
      </c>
      <c r="G94" s="6" t="s">
        <v>493</v>
      </c>
      <c r="H94" s="6"/>
      <c r="I94" s="16" t="s">
        <v>734</v>
      </c>
      <c r="J94" s="6" t="s">
        <v>51</v>
      </c>
      <c r="K94" s="6" t="s">
        <v>95</v>
      </c>
      <c r="L94" s="6" t="s">
        <v>4</v>
      </c>
    </row>
    <row r="95" spans="1:12" ht="42" customHeight="1" thickBot="1" x14ac:dyDescent="0.35">
      <c r="A95" s="6" t="s">
        <v>534</v>
      </c>
      <c r="B95" s="6" t="s">
        <v>500</v>
      </c>
      <c r="C95" s="6" t="s">
        <v>535</v>
      </c>
      <c r="D95" s="6" t="s">
        <v>508</v>
      </c>
      <c r="E95" s="6" t="s">
        <v>536</v>
      </c>
      <c r="F95" s="6" t="s">
        <v>537</v>
      </c>
      <c r="G95" s="6" t="s">
        <v>538</v>
      </c>
      <c r="H95" s="19" t="s">
        <v>762</v>
      </c>
      <c r="I95" s="16" t="s">
        <v>734</v>
      </c>
      <c r="J95" s="6" t="s">
        <v>59</v>
      </c>
      <c r="K95" s="6" t="s">
        <v>84</v>
      </c>
      <c r="L95" s="6" t="s">
        <v>4</v>
      </c>
    </row>
    <row r="96" spans="1:12" ht="42" customHeight="1" x14ac:dyDescent="0.3">
      <c r="A96" s="6" t="s">
        <v>539</v>
      </c>
      <c r="B96" s="6" t="s">
        <v>500</v>
      </c>
      <c r="C96" s="6" t="s">
        <v>540</v>
      </c>
      <c r="D96" s="6" t="s">
        <v>508</v>
      </c>
      <c r="E96" s="6" t="s">
        <v>541</v>
      </c>
      <c r="F96" s="6" t="s">
        <v>542</v>
      </c>
      <c r="G96" s="6" t="s">
        <v>543</v>
      </c>
      <c r="H96" s="6"/>
      <c r="I96" s="16" t="s">
        <v>734</v>
      </c>
      <c r="J96" s="6" t="s">
        <v>77</v>
      </c>
      <c r="K96" s="6" t="s">
        <v>95</v>
      </c>
      <c r="L96" s="6" t="s">
        <v>4</v>
      </c>
    </row>
    <row r="97" spans="1:12" ht="42" customHeight="1" x14ac:dyDescent="0.3">
      <c r="A97" s="6" t="s">
        <v>544</v>
      </c>
      <c r="B97" s="6" t="s">
        <v>545</v>
      </c>
      <c r="C97" s="6" t="s">
        <v>546</v>
      </c>
      <c r="D97" s="6" t="s">
        <v>46</v>
      </c>
      <c r="E97" s="6" t="s">
        <v>547</v>
      </c>
      <c r="F97" s="6" t="s">
        <v>548</v>
      </c>
      <c r="G97" s="6" t="s">
        <v>549</v>
      </c>
      <c r="H97" s="6"/>
      <c r="I97" s="16" t="s">
        <v>734</v>
      </c>
      <c r="J97" s="6" t="s">
        <v>59</v>
      </c>
      <c r="K97" s="6" t="s">
        <v>95</v>
      </c>
      <c r="L97" s="6" t="s">
        <v>4</v>
      </c>
    </row>
    <row r="98" spans="1:12" ht="42" customHeight="1" x14ac:dyDescent="0.3">
      <c r="A98" s="6" t="s">
        <v>550</v>
      </c>
      <c r="B98" s="6" t="s">
        <v>545</v>
      </c>
      <c r="C98" s="6" t="s">
        <v>551</v>
      </c>
      <c r="D98" s="6" t="s">
        <v>552</v>
      </c>
      <c r="E98" s="6" t="s">
        <v>553</v>
      </c>
      <c r="F98" s="6" t="s">
        <v>70</v>
      </c>
      <c r="G98" s="6" t="s">
        <v>554</v>
      </c>
      <c r="H98" s="6"/>
      <c r="I98" s="16" t="s">
        <v>734</v>
      </c>
      <c r="J98" s="6" t="s">
        <v>51</v>
      </c>
      <c r="K98" s="6" t="s">
        <v>60</v>
      </c>
      <c r="L98" s="6" t="s">
        <v>4</v>
      </c>
    </row>
    <row r="99" spans="1:12" ht="42" customHeight="1" x14ac:dyDescent="0.3">
      <c r="A99" s="6" t="s">
        <v>555</v>
      </c>
      <c r="B99" s="6" t="s">
        <v>545</v>
      </c>
      <c r="C99" s="6" t="s">
        <v>556</v>
      </c>
      <c r="D99" s="6" t="s">
        <v>552</v>
      </c>
      <c r="E99" s="6" t="s">
        <v>557</v>
      </c>
      <c r="F99" s="16" t="s">
        <v>558</v>
      </c>
      <c r="G99" s="6" t="s">
        <v>305</v>
      </c>
      <c r="H99" s="6"/>
      <c r="I99" s="16" t="s">
        <v>734</v>
      </c>
      <c r="J99" s="6" t="s">
        <v>59</v>
      </c>
      <c r="K99" s="6" t="s">
        <v>60</v>
      </c>
      <c r="L99" s="6" t="s">
        <v>4</v>
      </c>
    </row>
    <row r="100" spans="1:12" ht="42" customHeight="1" x14ac:dyDescent="0.3">
      <c r="A100" s="6" t="s">
        <v>559</v>
      </c>
      <c r="B100" s="6" t="s">
        <v>545</v>
      </c>
      <c r="C100" s="6" t="s">
        <v>560</v>
      </c>
      <c r="D100" s="6" t="s">
        <v>561</v>
      </c>
      <c r="E100" s="6" t="s">
        <v>562</v>
      </c>
      <c r="F100" s="6" t="s">
        <v>563</v>
      </c>
      <c r="G100" s="6" t="s">
        <v>564</v>
      </c>
      <c r="H100" s="16" t="s">
        <v>763</v>
      </c>
      <c r="I100" s="16" t="s">
        <v>761</v>
      </c>
      <c r="J100" s="6" t="s">
        <v>51</v>
      </c>
      <c r="K100" s="6" t="s">
        <v>60</v>
      </c>
      <c r="L100" s="6" t="s">
        <v>4</v>
      </c>
    </row>
    <row r="101" spans="1:12" ht="42" customHeight="1" x14ac:dyDescent="0.3">
      <c r="A101" s="6" t="s">
        <v>565</v>
      </c>
      <c r="B101" s="6" t="s">
        <v>545</v>
      </c>
      <c r="C101" s="6" t="s">
        <v>566</v>
      </c>
      <c r="D101" s="6" t="s">
        <v>567</v>
      </c>
      <c r="E101" s="6" t="s">
        <v>568</v>
      </c>
      <c r="F101" s="6" t="s">
        <v>548</v>
      </c>
      <c r="G101" s="6" t="s">
        <v>569</v>
      </c>
      <c r="H101" s="6"/>
      <c r="I101" s="16" t="s">
        <v>734</v>
      </c>
      <c r="J101" s="6" t="s">
        <v>77</v>
      </c>
      <c r="K101" s="6" t="s">
        <v>95</v>
      </c>
      <c r="L101" s="6" t="s">
        <v>4</v>
      </c>
    </row>
    <row r="102" spans="1:12" ht="42" customHeight="1" x14ac:dyDescent="0.3">
      <c r="A102" s="6" t="s">
        <v>570</v>
      </c>
      <c r="B102" s="6" t="s">
        <v>545</v>
      </c>
      <c r="C102" s="6" t="s">
        <v>571</v>
      </c>
      <c r="D102" s="6" t="s">
        <v>572</v>
      </c>
      <c r="E102" s="16" t="s">
        <v>573</v>
      </c>
      <c r="F102" s="6" t="s">
        <v>574</v>
      </c>
      <c r="G102" s="6" t="s">
        <v>575</v>
      </c>
      <c r="H102" s="6"/>
      <c r="I102" s="16" t="s">
        <v>734</v>
      </c>
      <c r="J102" s="6" t="s">
        <v>51</v>
      </c>
      <c r="K102" s="6" t="s">
        <v>84</v>
      </c>
      <c r="L102" s="6" t="s">
        <v>4</v>
      </c>
    </row>
    <row r="103" spans="1:12" ht="42" customHeight="1" x14ac:dyDescent="0.3">
      <c r="A103" s="6" t="s">
        <v>576</v>
      </c>
      <c r="B103" s="6" t="s">
        <v>545</v>
      </c>
      <c r="C103" s="6" t="s">
        <v>577</v>
      </c>
      <c r="D103" s="6" t="s">
        <v>578</v>
      </c>
      <c r="E103" s="6" t="s">
        <v>579</v>
      </c>
      <c r="F103" s="6" t="s">
        <v>136</v>
      </c>
      <c r="G103" s="6" t="s">
        <v>580</v>
      </c>
      <c r="H103" s="6"/>
      <c r="I103" s="16" t="s">
        <v>734</v>
      </c>
      <c r="J103" s="6" t="s">
        <v>59</v>
      </c>
      <c r="K103" s="6" t="s">
        <v>95</v>
      </c>
      <c r="L103" s="6" t="s">
        <v>4</v>
      </c>
    </row>
    <row r="104" spans="1:12" ht="42" customHeight="1" x14ac:dyDescent="0.3">
      <c r="A104" s="6" t="s">
        <v>581</v>
      </c>
      <c r="B104" s="6" t="s">
        <v>582</v>
      </c>
      <c r="C104" s="6" t="s">
        <v>583</v>
      </c>
      <c r="D104" s="6" t="s">
        <v>46</v>
      </c>
      <c r="E104" s="6" t="s">
        <v>584</v>
      </c>
      <c r="F104" s="6" t="s">
        <v>136</v>
      </c>
      <c r="G104" s="6" t="s">
        <v>585</v>
      </c>
      <c r="H104" s="6"/>
      <c r="I104" s="16" t="s">
        <v>734</v>
      </c>
      <c r="J104" s="6" t="s">
        <v>51</v>
      </c>
      <c r="K104" s="6" t="s">
        <v>95</v>
      </c>
      <c r="L104" s="6" t="s">
        <v>4</v>
      </c>
    </row>
    <row r="105" spans="1:12" ht="42" customHeight="1" x14ac:dyDescent="0.3">
      <c r="A105" s="6" t="s">
        <v>586</v>
      </c>
      <c r="B105" s="6" t="s">
        <v>582</v>
      </c>
      <c r="C105" s="6" t="s">
        <v>587</v>
      </c>
      <c r="D105" s="6" t="s">
        <v>588</v>
      </c>
      <c r="E105" s="6" t="s">
        <v>589</v>
      </c>
      <c r="F105" s="6" t="s">
        <v>136</v>
      </c>
      <c r="G105" s="6" t="s">
        <v>493</v>
      </c>
      <c r="H105" s="6"/>
      <c r="I105" s="16" t="s">
        <v>734</v>
      </c>
      <c r="J105" s="6" t="s">
        <v>59</v>
      </c>
      <c r="K105" s="6" t="s">
        <v>95</v>
      </c>
      <c r="L105" s="6" t="s">
        <v>4</v>
      </c>
    </row>
    <row r="106" spans="1:12" ht="42" customHeight="1" x14ac:dyDescent="0.3">
      <c r="A106" s="6" t="s">
        <v>590</v>
      </c>
      <c r="B106" s="6" t="s">
        <v>582</v>
      </c>
      <c r="C106" s="6" t="s">
        <v>591</v>
      </c>
      <c r="D106" s="6" t="s">
        <v>46</v>
      </c>
      <c r="E106" s="6" t="s">
        <v>592</v>
      </c>
      <c r="F106" s="6" t="s">
        <v>136</v>
      </c>
      <c r="G106" s="6" t="s">
        <v>593</v>
      </c>
      <c r="H106" s="16" t="s">
        <v>764</v>
      </c>
      <c r="I106" s="16" t="s">
        <v>737</v>
      </c>
      <c r="J106" s="6" t="s">
        <v>77</v>
      </c>
      <c r="K106" s="6" t="s">
        <v>95</v>
      </c>
      <c r="L106" s="6" t="s">
        <v>4</v>
      </c>
    </row>
    <row r="107" spans="1:12" ht="42" customHeight="1" x14ac:dyDescent="0.3">
      <c r="A107" s="6" t="s">
        <v>594</v>
      </c>
      <c r="B107" s="6" t="s">
        <v>582</v>
      </c>
      <c r="C107" s="6" t="s">
        <v>595</v>
      </c>
      <c r="D107" s="6" t="s">
        <v>214</v>
      </c>
      <c r="E107" s="6" t="s">
        <v>596</v>
      </c>
      <c r="F107" s="6" t="s">
        <v>597</v>
      </c>
      <c r="G107" s="6" t="s">
        <v>598</v>
      </c>
      <c r="H107" s="6"/>
      <c r="I107" s="16" t="s">
        <v>734</v>
      </c>
      <c r="J107" s="6" t="s">
        <v>59</v>
      </c>
      <c r="K107" s="6" t="s">
        <v>52</v>
      </c>
      <c r="L107" s="6" t="s">
        <v>4</v>
      </c>
    </row>
    <row r="108" spans="1:12" ht="42" customHeight="1" x14ac:dyDescent="0.3">
      <c r="A108" s="6" t="s">
        <v>599</v>
      </c>
      <c r="B108" s="6" t="s">
        <v>582</v>
      </c>
      <c r="C108" s="6" t="s">
        <v>600</v>
      </c>
      <c r="D108" s="6" t="s">
        <v>214</v>
      </c>
      <c r="E108" s="6" t="s">
        <v>601</v>
      </c>
      <c r="F108" s="6" t="s">
        <v>602</v>
      </c>
      <c r="G108" s="6" t="s">
        <v>603</v>
      </c>
      <c r="H108" s="6"/>
      <c r="I108" s="16" t="s">
        <v>734</v>
      </c>
      <c r="J108" s="6" t="s">
        <v>51</v>
      </c>
      <c r="K108" s="6" t="s">
        <v>52</v>
      </c>
      <c r="L108" s="6" t="s">
        <v>4</v>
      </c>
    </row>
    <row r="109" spans="1:12" ht="42" customHeight="1" x14ac:dyDescent="0.3">
      <c r="A109" s="6" t="s">
        <v>604</v>
      </c>
      <c r="B109" s="6" t="s">
        <v>582</v>
      </c>
      <c r="C109" s="6" t="s">
        <v>605</v>
      </c>
      <c r="D109" s="6" t="s">
        <v>46</v>
      </c>
      <c r="E109" s="6" t="s">
        <v>606</v>
      </c>
      <c r="F109" s="6" t="s">
        <v>136</v>
      </c>
      <c r="G109" s="6" t="s">
        <v>607</v>
      </c>
      <c r="H109" s="6"/>
      <c r="I109" s="16" t="s">
        <v>734</v>
      </c>
      <c r="J109" s="6" t="s">
        <v>59</v>
      </c>
      <c r="K109" s="6" t="s">
        <v>95</v>
      </c>
      <c r="L109" s="6" t="s">
        <v>4</v>
      </c>
    </row>
    <row r="110" spans="1:12" ht="42" customHeight="1" x14ac:dyDescent="0.3">
      <c r="A110" s="6" t="s">
        <v>608</v>
      </c>
      <c r="B110" s="6" t="s">
        <v>582</v>
      </c>
      <c r="C110" s="6" t="s">
        <v>609</v>
      </c>
      <c r="D110" s="6" t="s">
        <v>610</v>
      </c>
      <c r="E110" s="6" t="s">
        <v>611</v>
      </c>
      <c r="F110" s="6" t="s">
        <v>136</v>
      </c>
      <c r="G110" s="6" t="s">
        <v>612</v>
      </c>
      <c r="H110" s="6"/>
      <c r="I110" s="16" t="s">
        <v>734</v>
      </c>
      <c r="J110" s="6" t="s">
        <v>51</v>
      </c>
      <c r="K110" s="6" t="s">
        <v>60</v>
      </c>
      <c r="L110" s="6" t="s">
        <v>4</v>
      </c>
    </row>
    <row r="111" spans="1:12" ht="42" customHeight="1" x14ac:dyDescent="0.3">
      <c r="A111" s="6" t="s">
        <v>613</v>
      </c>
      <c r="B111" s="6" t="s">
        <v>582</v>
      </c>
      <c r="C111" s="6" t="s">
        <v>614</v>
      </c>
      <c r="D111" s="6" t="s">
        <v>136</v>
      </c>
      <c r="E111" s="6" t="s">
        <v>615</v>
      </c>
      <c r="F111" s="6" t="s">
        <v>616</v>
      </c>
      <c r="G111" s="6" t="s">
        <v>617</v>
      </c>
      <c r="H111" s="6"/>
      <c r="I111" s="16" t="s">
        <v>734</v>
      </c>
      <c r="J111" s="6" t="s">
        <v>77</v>
      </c>
      <c r="K111" s="6" t="s">
        <v>60</v>
      </c>
      <c r="L111" s="6" t="s">
        <v>4</v>
      </c>
    </row>
  </sheetData>
  <autoFilter ref="A1:L111" xr:uid="{00000000-0009-0000-0000-000001000000}"/>
  <hyperlinks>
    <hyperlink ref="F24" r:id="rId1" xr:uid="{50C843BB-E60E-4D23-BC5D-893CA25808CE}"/>
  </hyperlinks>
  <pageMargins left="0.75" right="0.75" top="1" bottom="1" header="0.511811023622047" footer="0.511811023622047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6" customWidth="1"/>
    <col min="3" max="3" width="14" customWidth="1"/>
    <col min="4" max="5" width="10" customWidth="1"/>
    <col min="6" max="6" width="40" customWidth="1"/>
    <col min="7" max="8" width="26" customWidth="1"/>
    <col min="9" max="9" width="18" customWidth="1"/>
    <col min="10" max="10" width="10" customWidth="1"/>
    <col min="11" max="11" width="12" customWidth="1"/>
  </cols>
  <sheetData>
    <row r="1" spans="1:11" x14ac:dyDescent="0.3">
      <c r="A1" s="5" t="s">
        <v>618</v>
      </c>
      <c r="B1" s="5" t="s">
        <v>619</v>
      </c>
      <c r="C1" s="5" t="s">
        <v>32</v>
      </c>
      <c r="D1" s="5" t="s">
        <v>620</v>
      </c>
      <c r="E1" s="5" t="s">
        <v>40</v>
      </c>
      <c r="F1" s="5" t="s">
        <v>621</v>
      </c>
      <c r="G1" s="5" t="s">
        <v>37</v>
      </c>
      <c r="H1" s="5" t="s">
        <v>38</v>
      </c>
      <c r="I1" s="5" t="s">
        <v>622</v>
      </c>
      <c r="J1" s="5" t="s">
        <v>39</v>
      </c>
      <c r="K1" s="5" t="s">
        <v>623</v>
      </c>
    </row>
    <row r="2" spans="1:11" ht="39.75" customHeight="1" x14ac:dyDescent="0.3">
      <c r="A2" s="6" t="s">
        <v>624</v>
      </c>
      <c r="B2" s="6" t="s">
        <v>625</v>
      </c>
      <c r="C2" s="6" t="s">
        <v>307</v>
      </c>
      <c r="D2" s="7" t="s">
        <v>77</v>
      </c>
      <c r="E2" s="6" t="s">
        <v>77</v>
      </c>
      <c r="F2" s="6" t="s">
        <v>626</v>
      </c>
      <c r="G2" s="6" t="s">
        <v>627</v>
      </c>
      <c r="H2" s="6" t="s">
        <v>628</v>
      </c>
      <c r="I2" s="6" t="s">
        <v>629</v>
      </c>
      <c r="J2" s="6" t="s">
        <v>630</v>
      </c>
      <c r="K2" s="6" t="s">
        <v>4</v>
      </c>
    </row>
    <row r="3" spans="1:11" ht="39.75" customHeight="1" x14ac:dyDescent="0.3">
      <c r="A3" s="6" t="s">
        <v>631</v>
      </c>
      <c r="B3" s="6" t="s">
        <v>632</v>
      </c>
      <c r="C3" s="6" t="s">
        <v>379</v>
      </c>
      <c r="D3" s="7" t="s">
        <v>77</v>
      </c>
      <c r="E3" s="6" t="s">
        <v>77</v>
      </c>
      <c r="F3" s="6" t="s">
        <v>633</v>
      </c>
      <c r="G3" s="6" t="s">
        <v>634</v>
      </c>
      <c r="H3" s="6" t="s">
        <v>635</v>
      </c>
      <c r="I3" s="6" t="s">
        <v>629</v>
      </c>
      <c r="J3" s="6" t="s">
        <v>630</v>
      </c>
      <c r="K3" s="6" t="s">
        <v>4</v>
      </c>
    </row>
    <row r="4" spans="1:11" ht="39.75" customHeight="1" x14ac:dyDescent="0.3">
      <c r="A4" s="6" t="s">
        <v>636</v>
      </c>
      <c r="B4" s="6" t="s">
        <v>637</v>
      </c>
      <c r="C4" s="6" t="s">
        <v>500</v>
      </c>
      <c r="D4" s="8" t="s">
        <v>59</v>
      </c>
      <c r="E4" s="6" t="s">
        <v>59</v>
      </c>
      <c r="F4" s="6" t="s">
        <v>638</v>
      </c>
      <c r="G4" s="6" t="s">
        <v>639</v>
      </c>
      <c r="H4" s="6" t="s">
        <v>640</v>
      </c>
      <c r="I4" s="6" t="s">
        <v>641</v>
      </c>
      <c r="J4" s="6" t="s">
        <v>630</v>
      </c>
      <c r="K4" s="6" t="s">
        <v>4</v>
      </c>
    </row>
    <row r="5" spans="1:11" ht="39.75" customHeight="1" x14ac:dyDescent="0.3">
      <c r="A5" s="6" t="s">
        <v>642</v>
      </c>
      <c r="B5" s="6" t="s">
        <v>643</v>
      </c>
      <c r="C5" s="6" t="s">
        <v>212</v>
      </c>
      <c r="D5" s="9" t="s">
        <v>51</v>
      </c>
      <c r="E5" s="6" t="s">
        <v>51</v>
      </c>
      <c r="F5" s="6" t="s">
        <v>644</v>
      </c>
      <c r="G5" s="6" t="s">
        <v>645</v>
      </c>
      <c r="H5" s="6" t="s">
        <v>646</v>
      </c>
      <c r="I5" s="6" t="s">
        <v>629</v>
      </c>
      <c r="J5" s="6" t="s">
        <v>630</v>
      </c>
      <c r="K5" s="6" t="s">
        <v>4</v>
      </c>
    </row>
    <row r="6" spans="1:11" ht="39.75" customHeight="1" x14ac:dyDescent="0.3">
      <c r="A6" s="6" t="s">
        <v>647</v>
      </c>
      <c r="B6" s="6" t="s">
        <v>648</v>
      </c>
      <c r="C6" s="6" t="s">
        <v>307</v>
      </c>
      <c r="D6" s="8" t="s">
        <v>59</v>
      </c>
      <c r="E6" s="6" t="s">
        <v>59</v>
      </c>
      <c r="F6" s="6" t="s">
        <v>649</v>
      </c>
      <c r="G6" s="6" t="s">
        <v>650</v>
      </c>
      <c r="H6" s="6" t="s">
        <v>651</v>
      </c>
      <c r="I6" s="6" t="s">
        <v>629</v>
      </c>
      <c r="J6" s="6" t="s">
        <v>630</v>
      </c>
      <c r="K6" s="6" t="s">
        <v>4</v>
      </c>
    </row>
    <row r="7" spans="1:11" ht="39.75" customHeight="1" x14ac:dyDescent="0.3">
      <c r="A7" s="6" t="s">
        <v>652</v>
      </c>
      <c r="B7" s="6" t="s">
        <v>653</v>
      </c>
      <c r="C7" s="6" t="s">
        <v>545</v>
      </c>
      <c r="D7" s="9" t="s">
        <v>51</v>
      </c>
      <c r="E7" s="6" t="s">
        <v>51</v>
      </c>
      <c r="F7" s="6" t="s">
        <v>654</v>
      </c>
      <c r="G7" s="6" t="s">
        <v>655</v>
      </c>
      <c r="H7" s="6" t="s">
        <v>656</v>
      </c>
      <c r="I7" s="6" t="s">
        <v>629</v>
      </c>
      <c r="J7" s="6" t="s">
        <v>630</v>
      </c>
      <c r="K7" s="6" t="s">
        <v>4</v>
      </c>
    </row>
    <row r="8" spans="1:11" ht="39.75" customHeight="1" x14ac:dyDescent="0.3">
      <c r="A8" s="6" t="s">
        <v>657</v>
      </c>
      <c r="B8" s="6" t="s">
        <v>658</v>
      </c>
      <c r="C8" s="6" t="s">
        <v>439</v>
      </c>
      <c r="D8" s="7" t="s">
        <v>77</v>
      </c>
      <c r="E8" s="6" t="s">
        <v>77</v>
      </c>
      <c r="F8" s="6" t="s">
        <v>659</v>
      </c>
      <c r="G8" s="6" t="s">
        <v>660</v>
      </c>
      <c r="H8" s="6" t="s">
        <v>661</v>
      </c>
      <c r="I8" s="6" t="s">
        <v>629</v>
      </c>
      <c r="J8" s="6" t="s">
        <v>630</v>
      </c>
      <c r="K8" s="6" t="s">
        <v>4</v>
      </c>
    </row>
    <row r="9" spans="1:11" ht="39.75" customHeight="1" x14ac:dyDescent="0.3">
      <c r="A9" s="6" t="s">
        <v>662</v>
      </c>
      <c r="B9" s="6" t="s">
        <v>663</v>
      </c>
      <c r="C9" s="6" t="s">
        <v>265</v>
      </c>
      <c r="D9" s="8" t="s">
        <v>59</v>
      </c>
      <c r="E9" s="6" t="s">
        <v>59</v>
      </c>
      <c r="F9" s="6" t="s">
        <v>664</v>
      </c>
      <c r="G9" s="6" t="s">
        <v>665</v>
      </c>
      <c r="H9" s="6" t="s">
        <v>666</v>
      </c>
      <c r="I9" s="6" t="s">
        <v>641</v>
      </c>
      <c r="J9" s="6" t="s">
        <v>630</v>
      </c>
      <c r="K9" s="6" t="s">
        <v>4</v>
      </c>
    </row>
    <row r="10" spans="1:11" ht="39.75" customHeight="1" x14ac:dyDescent="0.3">
      <c r="A10" s="6" t="s">
        <v>667</v>
      </c>
      <c r="B10" s="6" t="s">
        <v>668</v>
      </c>
      <c r="C10" s="6" t="s">
        <v>582</v>
      </c>
      <c r="D10" s="9" t="s">
        <v>51</v>
      </c>
      <c r="E10" s="6" t="s">
        <v>59</v>
      </c>
      <c r="F10" s="6" t="s">
        <v>669</v>
      </c>
      <c r="G10" s="6" t="s">
        <v>670</v>
      </c>
      <c r="H10" s="6" t="s">
        <v>671</v>
      </c>
      <c r="I10" s="6" t="s">
        <v>629</v>
      </c>
      <c r="J10" s="6" t="s">
        <v>630</v>
      </c>
      <c r="K10" s="6" t="s">
        <v>4</v>
      </c>
    </row>
    <row r="11" spans="1:11" ht="39.75" customHeight="1" x14ac:dyDescent="0.3">
      <c r="A11" s="6" t="s">
        <v>672</v>
      </c>
      <c r="B11" s="6" t="s">
        <v>673</v>
      </c>
      <c r="C11" s="6" t="s">
        <v>500</v>
      </c>
      <c r="D11" s="9" t="s">
        <v>51</v>
      </c>
      <c r="E11" s="6" t="s">
        <v>51</v>
      </c>
      <c r="F11" s="6" t="s">
        <v>674</v>
      </c>
      <c r="G11" s="6" t="s">
        <v>675</v>
      </c>
      <c r="H11" s="6" t="s">
        <v>676</v>
      </c>
      <c r="I11" s="6" t="s">
        <v>629</v>
      </c>
      <c r="J11" s="6" t="s">
        <v>630</v>
      </c>
      <c r="K11" s="6" t="s">
        <v>4</v>
      </c>
    </row>
  </sheetData>
  <autoFilter ref="A1:K1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42" customWidth="1"/>
    <col min="3" max="3" width="30" customWidth="1"/>
    <col min="4" max="4" width="20" customWidth="1"/>
    <col min="5" max="5" width="16" customWidth="1"/>
  </cols>
  <sheetData>
    <row r="1" spans="1:5" x14ac:dyDescent="0.3">
      <c r="A1" s="5" t="s">
        <v>677</v>
      </c>
      <c r="B1" s="5" t="s">
        <v>678</v>
      </c>
      <c r="C1" s="5" t="s">
        <v>679</v>
      </c>
      <c r="D1" s="5" t="s">
        <v>680</v>
      </c>
      <c r="E1" s="5" t="s">
        <v>681</v>
      </c>
    </row>
    <row r="2" spans="1:5" ht="30" customHeight="1" x14ac:dyDescent="0.3">
      <c r="A2" s="6" t="s">
        <v>682</v>
      </c>
      <c r="B2" s="6" t="s">
        <v>683</v>
      </c>
      <c r="C2" s="6" t="s">
        <v>684</v>
      </c>
      <c r="D2" s="6" t="s">
        <v>636</v>
      </c>
      <c r="E2" s="9" t="s">
        <v>685</v>
      </c>
    </row>
    <row r="3" spans="1:5" ht="30" customHeight="1" x14ac:dyDescent="0.3">
      <c r="A3" s="6" t="s">
        <v>686</v>
      </c>
      <c r="B3" s="6" t="s">
        <v>687</v>
      </c>
      <c r="C3" s="6" t="s">
        <v>688</v>
      </c>
      <c r="D3" s="6"/>
      <c r="E3" s="9" t="s">
        <v>685</v>
      </c>
    </row>
    <row r="4" spans="1:5" ht="30" customHeight="1" x14ac:dyDescent="0.3">
      <c r="A4" s="6" t="s">
        <v>689</v>
      </c>
      <c r="B4" s="6" t="s">
        <v>690</v>
      </c>
      <c r="C4" s="6" t="s">
        <v>691</v>
      </c>
      <c r="D4" s="6"/>
      <c r="E4" s="9" t="s">
        <v>685</v>
      </c>
    </row>
    <row r="5" spans="1:5" ht="30" customHeight="1" x14ac:dyDescent="0.3">
      <c r="A5" s="6" t="s">
        <v>692</v>
      </c>
      <c r="B5" s="6" t="s">
        <v>693</v>
      </c>
      <c r="C5" s="6" t="s">
        <v>694</v>
      </c>
      <c r="D5" s="6" t="s">
        <v>662</v>
      </c>
      <c r="E5" s="9" t="s">
        <v>685</v>
      </c>
    </row>
    <row r="6" spans="1:5" ht="30" customHeight="1" x14ac:dyDescent="0.3">
      <c r="A6" s="6" t="s">
        <v>695</v>
      </c>
      <c r="B6" s="6" t="s">
        <v>696</v>
      </c>
      <c r="C6" s="6" t="s">
        <v>697</v>
      </c>
      <c r="D6" s="6" t="s">
        <v>698</v>
      </c>
      <c r="E6" s="9" t="s">
        <v>685</v>
      </c>
    </row>
    <row r="7" spans="1:5" ht="30" customHeight="1" x14ac:dyDescent="0.3">
      <c r="A7" s="6" t="s">
        <v>699</v>
      </c>
      <c r="B7" s="6" t="s">
        <v>700</v>
      </c>
      <c r="C7" s="6" t="s">
        <v>701</v>
      </c>
      <c r="D7" s="6" t="s">
        <v>631</v>
      </c>
      <c r="E7" s="9" t="s">
        <v>685</v>
      </c>
    </row>
    <row r="8" spans="1:5" ht="30" customHeight="1" x14ac:dyDescent="0.3">
      <c r="A8" s="6" t="s">
        <v>702</v>
      </c>
      <c r="B8" s="6" t="s">
        <v>703</v>
      </c>
      <c r="C8" s="6" t="s">
        <v>704</v>
      </c>
      <c r="D8" s="6" t="s">
        <v>657</v>
      </c>
      <c r="E8" s="9" t="s">
        <v>685</v>
      </c>
    </row>
    <row r="9" spans="1:5" ht="30" customHeight="1" x14ac:dyDescent="0.3">
      <c r="A9" s="6" t="s">
        <v>705</v>
      </c>
      <c r="B9" s="6" t="s">
        <v>706</v>
      </c>
      <c r="C9" s="6" t="s">
        <v>707</v>
      </c>
      <c r="D9" s="6" t="s">
        <v>708</v>
      </c>
      <c r="E9" s="9" t="s">
        <v>685</v>
      </c>
    </row>
    <row r="10" spans="1:5" ht="30" customHeight="1" x14ac:dyDescent="0.3">
      <c r="A10" s="6" t="s">
        <v>709</v>
      </c>
      <c r="B10" s="6" t="s">
        <v>710</v>
      </c>
      <c r="C10" s="6" t="s">
        <v>711</v>
      </c>
      <c r="D10" s="6" t="s">
        <v>652</v>
      </c>
      <c r="E10" s="9" t="s">
        <v>685</v>
      </c>
    </row>
    <row r="11" spans="1:5" ht="30" customHeight="1" x14ac:dyDescent="0.3">
      <c r="A11" s="6" t="s">
        <v>712</v>
      </c>
      <c r="B11" s="6" t="s">
        <v>713</v>
      </c>
      <c r="C11" s="6" t="s">
        <v>714</v>
      </c>
      <c r="D11" s="6" t="s">
        <v>667</v>
      </c>
      <c r="E11" s="9" t="s">
        <v>685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zoomScaleNormal="100" workbookViewId="0">
      <selection activeCell="G15" sqref="G15"/>
    </sheetView>
  </sheetViews>
  <sheetFormatPr defaultColWidth="8.6640625" defaultRowHeight="14.4" x14ac:dyDescent="0.3"/>
  <cols>
    <col min="1" max="1" width="30" customWidth="1"/>
    <col min="2" max="2" width="20" customWidth="1"/>
    <col min="3" max="3" width="40" customWidth="1"/>
  </cols>
  <sheetData>
    <row r="1" spans="1:3" ht="17.399999999999999" x14ac:dyDescent="0.3">
      <c r="A1" s="2" t="s">
        <v>715</v>
      </c>
      <c r="B1" s="2"/>
      <c r="C1" s="2"/>
    </row>
    <row r="3" spans="1:3" x14ac:dyDescent="0.3">
      <c r="A3" t="s">
        <v>716</v>
      </c>
      <c r="B3" t="s">
        <v>717</v>
      </c>
    </row>
    <row r="4" spans="1:3" x14ac:dyDescent="0.3">
      <c r="A4" t="s">
        <v>718</v>
      </c>
      <c r="B4" t="s">
        <v>4</v>
      </c>
    </row>
    <row r="5" spans="1:3" x14ac:dyDescent="0.3">
      <c r="A5" t="s">
        <v>719</v>
      </c>
      <c r="B5" t="s">
        <v>6</v>
      </c>
    </row>
    <row r="7" spans="1:3" x14ac:dyDescent="0.3">
      <c r="A7" s="10" t="s">
        <v>720</v>
      </c>
      <c r="B7" s="10" t="s">
        <v>721</v>
      </c>
    </row>
    <row r="8" spans="1:3" x14ac:dyDescent="0.3">
      <c r="A8" s="11" t="s">
        <v>722</v>
      </c>
      <c r="B8" s="11">
        <v>110</v>
      </c>
    </row>
    <row r="9" spans="1:3" x14ac:dyDescent="0.3">
      <c r="A9" s="11" t="s">
        <v>723</v>
      </c>
      <c r="B9" s="11">
        <f>COUNTIF('Test Cases'!I2:I111,"Pass")</f>
        <v>83</v>
      </c>
    </row>
    <row r="10" spans="1:3" x14ac:dyDescent="0.3">
      <c r="A10" s="11" t="s">
        <v>724</v>
      </c>
      <c r="B10" s="11">
        <f>COUNTIF('Test Cases'!I2:I111,"Fail")</f>
        <v>20</v>
      </c>
    </row>
    <row r="11" spans="1:3" x14ac:dyDescent="0.3">
      <c r="A11" s="11" t="s">
        <v>725</v>
      </c>
      <c r="B11" s="11">
        <f>COUNTIF('Test Cases'!I2:I111,"Blocked")</f>
        <v>0</v>
      </c>
    </row>
    <row r="12" spans="1:3" x14ac:dyDescent="0.3">
      <c r="A12" s="11" t="s">
        <v>726</v>
      </c>
      <c r="B12" s="11">
        <f>COUNTIF('Test Cases'!I2:I111,"Not Executed")</f>
        <v>2</v>
      </c>
    </row>
    <row r="13" spans="1:3" x14ac:dyDescent="0.3">
      <c r="A13" s="11" t="s">
        <v>727</v>
      </c>
      <c r="B13" s="12">
        <f>IFERROR(B9/B8,0)</f>
        <v>0.75454545454545452</v>
      </c>
    </row>
    <row r="14" spans="1:3" x14ac:dyDescent="0.3">
      <c r="A14" s="11" t="s">
        <v>728</v>
      </c>
      <c r="B14" s="11">
        <v>10</v>
      </c>
    </row>
    <row r="15" spans="1:3" x14ac:dyDescent="0.3">
      <c r="A15" s="11" t="s">
        <v>729</v>
      </c>
      <c r="B15" s="11">
        <f>COUNTIF('Bug Reports'!D2:D11,"High")</f>
        <v>3</v>
      </c>
    </row>
    <row r="16" spans="1:3" x14ac:dyDescent="0.3">
      <c r="A16" s="11" t="s">
        <v>730</v>
      </c>
      <c r="B16" s="11">
        <f>COUNTIF('Bug Reports'!D2:D11,"Medium")</f>
        <v>3</v>
      </c>
    </row>
    <row r="17" spans="1:3" x14ac:dyDescent="0.3">
      <c r="A17" s="11" t="s">
        <v>731</v>
      </c>
      <c r="B17" s="11">
        <f>COUNTIF('Bug Reports'!D2:D11,"Low")</f>
        <v>4</v>
      </c>
    </row>
    <row r="19" spans="1:3" x14ac:dyDescent="0.3">
      <c r="A19" s="13" t="s">
        <v>732</v>
      </c>
    </row>
    <row r="20" spans="1:3" ht="60" customHeight="1" x14ac:dyDescent="0.3">
      <c r="A20" s="1" t="s">
        <v>733</v>
      </c>
      <c r="B20" s="1"/>
      <c r="C20" s="1"/>
    </row>
  </sheetData>
  <mergeCells count="2">
    <mergeCell ref="A1:C1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</vt:lpstr>
      <vt:lpstr>Test Cases</vt:lpstr>
      <vt:lpstr>Bug Reports</vt:lpstr>
      <vt:lpstr>RTM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Kaliraj  Koppaiyah</cp:lastModifiedBy>
  <cp:revision>0</cp:revision>
  <dcterms:created xsi:type="dcterms:W3CDTF">2026-09-29T16:45:32Z</dcterms:created>
  <dcterms:modified xsi:type="dcterms:W3CDTF">2026-10-06T06:37:02Z</dcterms:modified>
  <dc:language>en-US</dc:language>
</cp:coreProperties>
</file>